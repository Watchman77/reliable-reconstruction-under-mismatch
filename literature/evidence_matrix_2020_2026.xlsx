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31d4f4bab94eb5" /></Relationships>
</file>

<file path=xl/workbook.xml><?xml version="1.0" encoding="utf-8"?>
<x:workbook xmlns:x="http://schemas.openxmlformats.org/spreadsheetml/2006/main">
  <x:sheets>
    <x:sheet xmlns:r="http://schemas.openxmlformats.org/officeDocument/2006/relationships" name="Summary" sheetId="1" r:id="Rd75476c9d9f14975"/>
    <x:sheet xmlns:r="http://schemas.openxmlformats.org/officeDocument/2006/relationships" name="Evidence Matrix" sheetId="2" r:id="R617393fd5885427a"/>
    <x:sheet xmlns:r="http://schemas.openxmlformats.org/officeDocument/2006/relationships" name="Screening Log" sheetId="3" r:id="R684ee4f0856e4b07"/>
    <x:sheet xmlns:r="http://schemas.openxmlformats.org/officeDocument/2006/relationships" name="Review Protocol" sheetId="4" r:id="R426c335b089a4d0e"/>
    <x:sheet xmlns:r="http://schemas.openxmlformats.org/officeDocument/2006/relationships" name="Coding Dictionary" sheetId="5" r:id="R802fa62a3cfc4e9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11">
    <x:font>
      <x:sz val="11"/>
      <x:name val="Carlito"/>
    </x:font>
    <x:font>
      <x:sz val="9"/>
      <x:name val="Arial"/>
    </x:font>
    <x:font>
      <x:b/>
      <x:sz val="9"/>
      <x:color rgb="FFFFFFFF"/>
      <x:name val="Arial"/>
    </x:font>
    <x:font>
      <x:b/>
      <x:sz val="16"/>
      <x:color rgb="FF1F1F1F"/>
      <x:name val="Arial"/>
    </x:font>
    <x:font>
      <x:b/>
      <x:sz val="10"/>
      <x:color rgb="FFFFFFFF"/>
      <x:name val="Arial"/>
    </x:font>
    <x:font>
      <x:sz val="10"/>
      <x:name val="Arial"/>
    </x:font>
    <x:font>
      <x:b/>
      <x:sz val="16"/>
      <x:name val="Arial"/>
    </x:font>
    <x:font>
      <x:b/>
      <x:sz val="10"/>
      <x:name val="Arial"/>
    </x:font>
    <x:font>
      <x:sz val="11"/>
      <x:color rgb="FFFFFFFF"/>
      <x:name val="Carlito"/>
    </x:font>
    <x:font>
      <x:b/>
      <x:sz val="11"/>
      <x:color rgb="FFFFFFFF"/>
      <x:name val="Carlito"/>
    </x:font>
    <x:font>
      <x:b/>
      <x:sz val="11"/>
      <x:name val="Carlito"/>
    </x:font>
  </x:fonts>
  <x:fills count="21">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EAF2F8"/>
      </x:patternFill>
    </x:fill>
    <x:fill>
      <x:patternFill patternType="solid">
        <x:fgColor rgb="FF1F4E78"/>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
      <x:patternFill patternType="solid">
        <x:fgColor rgb="FFE2F0D9"/>
      </x:patternFill>
    </x:fill>
  </x:fills>
  <x:borders count="14">
    <x:border/>
    <x:border>
      <x:bottom style="medium">
        <x:color rgb="FF1F4E78"/>
      </x:bottom>
    </x:border>
    <x:border>
      <x:left style="thin">
        <x:color rgb="FFB4C6E7"/>
      </x:left>
      <x:top style="thin">
        <x:color rgb="FFB4C6E7"/>
      </x:top>
    </x:border>
    <x:border>
      <x:right style="thin">
        <x:color rgb="FFB4C6E7"/>
      </x:right>
      <x:top style="thin">
        <x:color rgb="FFB4C6E7"/>
      </x:top>
    </x:border>
    <x:border>
      <x:left style="thin">
        <x:color rgb="FFB4C6E7"/>
      </x:left>
    </x:border>
    <x:border>
      <x:right style="thin">
        <x:color rgb="FFB4C6E7"/>
      </x:right>
    </x:border>
    <x:border>
      <x:left style="thin">
        <x:color rgb="FFB4C6E7"/>
      </x:left>
      <x:bottom style="thin">
        <x:color rgb="FFB4C6E7"/>
      </x:bottom>
    </x:border>
    <x:border>
      <x:right style="thin">
        <x:color rgb="FFB4C6E7"/>
      </x:right>
      <x:bottom style="thin">
        <x:color rgb="FFB4C6E7"/>
      </x:bottom>
    </x:border>
    <x:border>
      <x:left style="thin">
        <x:color rgb="FF9EADBA"/>
      </x:left>
      <x:top style="thin">
        <x:color rgb="FF9EADBA"/>
      </x:top>
    </x:border>
    <x:border>
      <x:right style="thin">
        <x:color rgb="FF9EADBA"/>
      </x:right>
      <x:top style="thin">
        <x:color rgb="FF9EADBA"/>
      </x:top>
    </x:border>
    <x:border>
      <x:left style="thin">
        <x:color rgb="FF9EADBA"/>
      </x:left>
    </x:border>
    <x:border>
      <x:right style="thin">
        <x:color rgb="FF9EADBA"/>
      </x:right>
    </x:border>
    <x:border>
      <x:left style="thin">
        <x:color rgb="FF9EADBA"/>
      </x:left>
      <x:bottom style="thin">
        <x:color rgb="FF9EADBA"/>
      </x:bottom>
    </x:border>
    <x:border>
      <x:right style="thin">
        <x:color rgb="FF9EADBA"/>
      </x:right>
      <x:bottom style="thin">
        <x:color rgb="FF9EADBA"/>
      </x:bottom>
    </x:border>
  </x:borders>
  <x:cellStyleXfs count="1">
    <x:xf numFmtId="0" fontId="0" fillId="0" borderId="0"/>
  </x:cellStyleXfs>
  <x:cellXfs count="104">
    <x:xf numFmtId="0" fontId="0" fillId="0" borderId="0" xfId="0"/>
    <x:xf numFmtId="0" fontId="1" fillId="0" borderId="0" xfId="0" applyNumberFormat="1" applyFont="1" applyFill="1" applyBorder="1"/>
    <x:xf numFmtId="0" fontId="2"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2" borderId="0" xfId="0" applyNumberFormat="1" applyFont="1" applyFill="1" applyBorder="1" applyAlignment="1">
      <x:alignment horizontal="center" vertical="center"/>
    </x:xf>
    <x:xf numFmtId="0" fontId="1" fillId="0" borderId="0" xfId="0" applyNumberFormat="1" applyFont="1" applyFill="1" applyBorder="1" applyAlignment="1">
      <x:alignment horizontal="center"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3" fillId="0" borderId="0" xfId="0" applyNumberFormat="1" applyFont="1" applyFill="1" applyBorder="1"/>
    <x:xf numFmtId="0" fontId="0" fillId="0" borderId="1"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5" fillId="3" borderId="0" xfId="0" applyNumberFormat="1" applyFont="1" applyFill="1" applyBorder="1"/>
    <x:xf numFmtId="0" fontId="5" fillId="0" borderId="0" xfId="0" applyNumberFormat="1" applyFont="1" applyFill="1" applyBorder="1"/>
    <x:xf numFmtId="0" fontId="5" fillId="4" borderId="0" xfId="0" applyNumberFormat="1" applyFont="1" applyFill="1" applyBorder="1"/>
    <x:xf numFmtId="0" fontId="5" fillId="5" borderId="0" xfId="0" applyNumberFormat="1" applyFont="1" applyFill="1" applyBorder="1"/>
    <x:xf numFmtId="0" fontId="5" fillId="3" borderId="0" xfId="0" applyNumberFormat="1" applyFont="1" applyFill="1" applyBorder="1" applyAlignment="1">
      <x:alignment wrapText="1"/>
    </x:xf>
    <x:xf numFmtId="0" fontId="5" fillId="0" borderId="0" xfId="0" applyNumberFormat="1" applyFont="1" applyFill="1" applyBorder="1" applyAlignment="1">
      <x:alignment wrapText="1"/>
    </x:xf>
    <x:xf numFmtId="0" fontId="4" fillId="2" borderId="0" xfId="0" applyNumberFormat="1" applyFont="1" applyFill="1" applyBorder="1" applyAlignment="1">
      <x:alignment wrapText="1"/>
    </x:xf>
    <x:xf numFmtId="0" fontId="5" fillId="4" borderId="0" xfId="0" applyNumberFormat="1" applyFont="1" applyFill="1" applyBorder="1" applyAlignment="1">
      <x:alignment wrapText="1"/>
    </x:xf>
    <x:xf numFmtId="0" fontId="5" fillId="5"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1" fillId="2" borderId="0" xfId="0" applyNumberFormat="1" applyFont="1" applyFill="1" applyBorder="1"/>
    <x:xf numFmtId="0" fontId="2" fillId="2" borderId="0" xfId="0" applyNumberFormat="1" applyFont="1" applyFill="1" applyBorder="1" applyAlignment="1">
      <x:alignment horizontal="center"/>
    </x:xf>
    <x:xf numFmtId="201" fontId="1" fillId="0" borderId="0" xfId="0" applyNumberFormat="1" applyFont="1" applyFill="1" applyBorder="1"/>
    <x:xf numFmtId="0" fontId="6" fillId="0" borderId="0" xfId="0" applyNumberFormat="1" applyFont="1" applyFill="1" applyBorder="1"/>
    <x:xf numFmtId="0" fontId="0" fillId="6" borderId="0" xfId="0" applyNumberFormat="1" applyFont="1" applyFill="1" applyBorder="1"/>
    <x:xf numFmtId="0" fontId="7" fillId="6" borderId="0"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7" fillId="6" borderId="10" xfId="0" applyNumberFormat="1" applyFont="1" applyFill="1" applyBorder="1"/>
    <x:xf numFmtId="0" fontId="5" fillId="0" borderId="11" xfId="0" applyNumberFormat="1" applyFont="1" applyFill="1" applyBorder="1"/>
    <x:xf numFmtId="0" fontId="7" fillId="6" borderId="12" xfId="0" applyNumberFormat="1" applyFont="1" applyFill="1" applyBorder="1"/>
    <x:xf numFmtId="0" fontId="5" fillId="0" borderId="13" xfId="0" applyNumberFormat="1" applyFont="1" applyFill="1" applyBorder="1"/>
    <x:xf numFmtId="0" fontId="4" fillId="2" borderId="8" xfId="0" applyNumberFormat="1" applyFont="1" applyFill="1" applyBorder="1" applyAlignment="1">
      <x:alignment vertical="top"/>
    </x:xf>
    <x:xf numFmtId="0" fontId="4" fillId="2" borderId="9" xfId="0" applyNumberFormat="1" applyFont="1" applyFill="1" applyBorder="1" applyAlignment="1">
      <x:alignment vertical="top"/>
    </x:xf>
    <x:xf numFmtId="0" fontId="7" fillId="6" borderId="10" xfId="0" applyNumberFormat="1" applyFont="1" applyFill="1" applyBorder="1" applyAlignment="1">
      <x:alignment vertical="top"/>
    </x:xf>
    <x:xf numFmtId="0" fontId="5" fillId="0" borderId="11" xfId="0" applyNumberFormat="1" applyFont="1" applyFill="1" applyBorder="1" applyAlignment="1">
      <x:alignment vertical="top"/>
    </x:xf>
    <x:xf numFmtId="0" fontId="7" fillId="6" borderId="12" xfId="0" applyNumberFormat="1" applyFont="1" applyFill="1" applyBorder="1" applyAlignment="1">
      <x:alignment vertical="top"/>
    </x:xf>
    <x:xf numFmtId="0" fontId="5" fillId="0" borderId="13" xfId="0" applyNumberFormat="1" applyFont="1" applyFill="1" applyBorder="1" applyAlignment="1">
      <x:alignment vertical="top"/>
    </x:xf>
    <x:xf numFmtId="0" fontId="4" fillId="2" borderId="8" xfId="0" applyNumberFormat="1" applyFont="1" applyFill="1" applyBorder="1" applyAlignment="1">
      <x:alignment vertical="top" wrapText="1"/>
    </x:xf>
    <x:xf numFmtId="0" fontId="4" fillId="2" borderId="9" xfId="0" applyNumberFormat="1" applyFont="1" applyFill="1" applyBorder="1" applyAlignment="1">
      <x:alignment vertical="top" wrapText="1"/>
    </x:xf>
    <x:xf numFmtId="0" fontId="7" fillId="6"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7" fillId="6" borderId="12"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2" borderId="0" xfId="0" applyNumberFormat="1" applyFont="1" applyFill="1" applyBorder="1"/>
    <x:xf numFmtId="0" fontId="4" fillId="2"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0" fillId="7" borderId="0" xfId="0" applyNumberFormat="1" applyFont="1" applyFill="1" applyBorder="1"/>
    <x:xf numFmtId="0" fontId="0" fillId="8" borderId="0" xfId="0" applyNumberFormat="1" applyFont="1" applyFill="1" applyBorder="1"/>
    <x:xf numFmtId="0" fontId="8"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0" fillId="7" borderId="0" xfId="0" applyNumberFormat="1" applyFont="1" applyFill="1" applyBorder="1" applyAlignment="1">
      <x:alignment wrapText="1"/>
    </x:xf>
    <x:xf numFmtId="200" fontId="0" fillId="7"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11" borderId="0" xfId="0" applyNumberFormat="1" applyFont="1" applyFill="1" applyBorder="1"/>
    <x:xf numFmtId="0" fontId="1" fillId="11" borderId="0" xfId="0" applyNumberFormat="1" applyFont="1" applyFill="1" applyBorder="1" applyAlignment="1">
      <x:alignment vertical="top"/>
    </x:xf>
    <x:xf numFmtId="0" fontId="1" fillId="11" borderId="0" xfId="0" applyNumberFormat="1" applyFont="1" applyFill="1" applyBorder="1" applyAlignment="1">
      <x:alignment vertical="top" wrapText="1"/>
    </x:xf>
    <x:xf numFmtId="0" fontId="1" fillId="0"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horizontal="center" vertical="top" wrapText="1"/>
    </x:xf>
    <x:xf numFmtId="200" fontId="1" fillId="0" borderId="0" xfId="0" applyNumberFormat="1" applyFont="1" applyFill="1" applyBorder="1" applyAlignment="1">
      <x:alignment vertical="top" wrapText="1"/>
    </x:xf>
    <x:xf numFmtId="0" fontId="1" fillId="12" borderId="0" xfId="0" applyNumberFormat="1" applyFont="1" applyFill="1" applyBorder="1"/>
    <x:xf numFmtId="0" fontId="1" fillId="13" borderId="0" xfId="0" applyNumberFormat="1" applyFont="1" applyFill="1" applyBorder="1"/>
    <x:xf numFmtId="0" fontId="1" fillId="12" borderId="0" xfId="0" applyNumberFormat="1" applyFont="1" applyFill="1" applyBorder="1" applyAlignment="1">
      <x:alignment vertical="top"/>
    </x:xf>
    <x:xf numFmtId="0" fontId="1" fillId="13" borderId="0" xfId="0" applyNumberFormat="1" applyFont="1" applyFill="1" applyBorder="1" applyAlignment="1">
      <x:alignment vertical="top"/>
    </x:xf>
    <x:xf numFmtId="0" fontId="1" fillId="12"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0" fillId="14" borderId="0" xfId="0" applyNumberFormat="1" applyFont="1" applyFill="1" applyBorder="1"/>
    <x:xf numFmtId="0" fontId="10" fillId="14" borderId="0" xfId="0" applyNumberFormat="1" applyFont="1" applyFill="1" applyBorder="1"/>
    <x:xf numFmtId="0" fontId="1" fillId="16"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1" fillId="19" borderId="0" xfId="0" applyNumberFormat="1" applyFont="1" applyFill="1" applyBorder="1" applyAlignment="1">
      <x:alignment vertical="top" wrapText="1"/>
    </x:xf>
    <x:xf numFmtId="0" fontId="1" fillId="20" borderId="0" xfId="0" applyNumberFormat="1" applyFont="1" applyFill="1" applyBorder="1" applyAlignment="1">
      <x:alignment vertical="top" wrapText="1"/>
    </x:xf>
  </x:cellXfs>
  <x:cellStyles count="1">
    <x:cellStyle name="Normal" xfId="0"/>
  </x:cellStyles>
  <x:dxfs count="4">
    <x:dxf>
      <x:font>
        <x:b/>
        <x:color rgb="FF7F6000"/>
      </x:font>
      <x:fill>
        <x:patternFill>
          <x:bgColor rgb="FFFFF2CC"/>
        </x:patternFill>
      </x:fill>
    </x:dxf>
    <x:dxf>
      <x:font>
        <x:color rgb="FFC00000"/>
      </x:font>
      <x:fill>
        <x:patternFill>
          <x:bgColor rgb="FFFCE4D6"/>
        </x:patternFill>
      </x:fill>
    </x:dxf>
    <x:dxf>
      <x:font>
        <x:b/>
        <x:color rgb="FF375623"/>
      </x:font>
      <x:fill>
        <x:patternFill>
          <x:bgColor rgb="FFE2F0D9"/>
        </x:patternFill>
      </x:fill>
    </x:dxf>
    <x:dxf>
      <x:font>
        <x:color rgb="FFC000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a554b74e2ad46ff" /><Relationship Type="http://schemas.openxmlformats.org/officeDocument/2006/relationships/theme" Target="/xl/theme/theme1.xml" Id="Rf6e84e952f03460a" /><Relationship Type="http://schemas.openxmlformats.org/officeDocument/2006/relationships/sharedStrings" Target="/xl/sharedStrings.xml" Id="Rf439ee6b28834322" /><Relationship Type="http://schemas.openxmlformats.org/officeDocument/2006/relationships/worksheet" Target="/xl/worksheets/sheet1.xml" Id="Rd75476c9d9f14975" /><Relationship Type="http://schemas.openxmlformats.org/officeDocument/2006/relationships/worksheet" Target="/xl/worksheets/sheet2.xml" Id="R617393fd5885427a" /><Relationship Type="http://schemas.openxmlformats.org/officeDocument/2006/relationships/worksheet" Target="/xl/worksheets/sheet3.xml" Id="R684ee4f0856e4b07" /><Relationship Type="http://schemas.openxmlformats.org/officeDocument/2006/relationships/worksheet" Target="/xl/worksheets/sheet4.xml" Id="R426c335b089a4d0e" /><Relationship Type="http://schemas.openxmlformats.org/officeDocument/2006/relationships/worksheet" Target="/xl/worksheets/sheet5.xml" Id="R802fa62a3cfc4e97" /></Relationships>
</file>

<file path=xl/drawings/_rels/drawing1.xml.rels>&#65279;<?xml version="1.0" encoding="utf-8"?><Relationships xmlns="http://schemas.openxmlformats.org/package/2006/relationships"><Relationship Type="http://schemas.openxmlformats.org/officeDocument/2006/relationships/chart" Target="/xl/drawings/charts/chart1.xml" Id="R8e45c9c83fa8409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Seed evidence by research stream</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Papers</c:v>
          </c:tx>
          <c:cat>
            <c:strRef>
              <c:f>'Summary'!$D$6:$D$9</c:f>
              <c:strCache>
                <c:ptCount val="0"/>
              </c:strCache>
            </c:strRef>
          </c:cat>
          <c:val>
            <c:numRef>
              <c:f>'Summary'!$E$6:$E$9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4</xdr:row>
      <xdr:rowOff>0</xdr:rowOff>
    </xdr:from>
    <xdr:to>
      <xdr:col>14</xdr:col>
      <xdr:colOff>0</xdr:colOff>
      <xdr:row>14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e45c9c83fa84094"/>
        </a:graphicData>
      </a:graphic>
    </xdr:graphicFrame>
    <xdr:clientData/>
  </xdr:twoCellAnchor>
</xdr:wsDr>
</file>

<file path=xl/tables/table1.xml><?xml version="1.0" encoding="utf-8"?>
<x:table xmlns:x="http://schemas.openxmlformats.org/spreadsheetml/2006/main" id="1" name="EvidenceMatrixTable" displayName="EvidenceMatrixTable" ref="A1:AF91" headerRowCount="1" totalsRowCount="0" totalsRowShown="0">
  <x:tableColumns count="32">
    <x:tableColumn id="1" name="Study ID"/>
    <x:tableColumn id="2" name="Year"/>
    <x:tableColumn id="3" name="Authors"/>
    <x:tableColumn id="4" name="Title"/>
    <x:tableColumn id="5" name="Venue"/>
    <x:tableColumn id="6" name="Publication type"/>
    <x:tableColumn id="7" name="Peer reviewed"/>
    <x:tableColumn id="8" name="Modality"/>
    <x:tableColumn id="9" name="Data domain"/>
    <x:tableColumn id="10" name="Forward model"/>
    <x:tableColumn id="11" name="Operator access"/>
    <x:tableColumn id="12" name="Mismatch type"/>
    <x:tableColumn id="13" name="Solver family"/>
    <x:tableColumn id="14" name="Physics integration"/>
    <x:tableColumn id="15" name="Joint image/operator"/>
    <x:tableColumn id="16" name="Image UQ"/>
    <x:tableColumn id="17" name="Operator UQ"/>
    <x:tableColumn id="18" name="Calibration"/>
    <x:tableColumn id="19" name="OOD test"/>
    <x:tableColumn id="20" name="Real data/hardware"/>
    <x:tableColumn id="21" name="Compound degradation"/>
    <x:tableColumn id="22" name="Time varying"/>
    <x:tableColumn id="23" name="Hallucination test"/>
    <x:tableColumn id="24" name="Abstention"/>
    <x:tableColumn id="25" name="Code available"/>
    <x:tableColumn id="26" name="Evidence status"/>
    <x:tableColumn id="27" name="Inclusion decision"/>
    <x:tableColumn id="28" name="Closest competitor"/>
    <x:tableColumn id="29" name="Key contribution"/>
    <x:tableColumn id="30" name="Gap left open"/>
    <x:tableColumn id="31" name="Primary source URL"/>
    <x:tableColumn id="32" name="Review notes"/>
  </x:tableColumns>
  <x:tableStyleInfo name="TableStyleMedium2" showFirstColumn="0" showLastColumn="0" showRowStripes="1" showColumnStripes="0"/>
</x:table>
</file>

<file path=xl/tables/table2.xml><?xml version="1.0" encoding="utf-8"?>
<x:table xmlns:x="http://schemas.openxmlformats.org/spreadsheetml/2006/main" id="2" name="ScreeningLogTable" displayName="ScreeningLogTable" ref="A1:N101" headerRowCount="1" totalsRowCount="0" totalsRowShown="0">
  <x:tableColumns count="14">
    <x:tableColumn id="1" name="Record ID"/>
    <x:tableColumn id="2" name="Date found"/>
    <x:tableColumn id="3" name="Database/source"/>
    <x:tableColumn id="4" name="Search string / citation route"/>
    <x:tableColumn id="5" name="Title"/>
    <x:tableColumn id="6" name="Year"/>
    <x:tableColumn id="7" name="DOI / URL"/>
    <x:tableColumn id="8" name="Duplicate?"/>
    <x:tableColumn id="9" name="Title/abstract decision"/>
    <x:tableColumn id="10" name="Full-text decision"/>
    <x:tableColumn id="11" name="Exclusion reason"/>
    <x:tableColumn id="12" name="Reviewer notes"/>
    <x:tableColumn id="13" name="Full-text obtained?"/>
    <x:tableColumn id="14" name="Added to matrix?"/>
  </x:tableColumns>
  <x:tableStyleInfo name="TableStyleMedium2" showFirstColumn="0" showLastColumn="0" showRowStripes="1" showColumnStripes="0"/>
</x:table>
</file>

<file path=xl/tables/table3.xml><?xml version="1.0" encoding="utf-8"?>
<x:table xmlns:x="http://schemas.openxmlformats.org/spreadsheetml/2006/main" id="3" name="CodingDictionaryTable" displayName="CodingDictionaryTable" ref="A1:C20" headerRowCount="1" totalsRowCount="0" totalsRowShown="0">
  <x:tableColumns count="3">
    <x:tableColumn id="1" name="Field"/>
    <x:tableColumn id="2" name="Allowed values / format"/>
    <x:tableColumn id="3" name="Coding defini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610e083fbcc4dc0" /></Relationships>
</file>

<file path=xl/worksheets/_rels/sheet2.xml.rels>&#65279;<?xml version="1.0" encoding="utf-8"?><Relationships xmlns="http://schemas.openxmlformats.org/package/2006/relationships"><Relationship Type="http://schemas.openxmlformats.org/officeDocument/2006/relationships/table" Target="/xl/tables/table1.xml" Id="Rf30335e755b14f6f" /></Relationships>
</file>

<file path=xl/worksheets/_rels/sheet3.xml.rels>&#65279;<?xml version="1.0" encoding="utf-8"?><Relationships xmlns="http://schemas.openxmlformats.org/package/2006/relationships"><Relationship Type="http://schemas.openxmlformats.org/officeDocument/2006/relationships/table" Target="/xl/tables/table2.xml" Id="R53f6e3f6be384f59" /></Relationships>
</file>

<file path=xl/worksheets/_rels/sheet5.xml.rels>&#65279;<?xml version="1.0" encoding="utf-8"?><Relationships xmlns="http://schemas.openxmlformats.org/package/2006/relationships"><Relationship Type="http://schemas.openxmlformats.org/officeDocument/2006/relationships/table" Target="/xl/tables/table3.xml" Id="R16ddbd596d6743a5"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26" hidden="0" customWidth="1"/>
    <x:col min="2" max="2" width="12" hidden="0" customWidth="1"/>
    <x:col min="3" max="3" width="4" hidden="0" customWidth="1"/>
    <x:col min="4" max="4" width="28" hidden="0" customWidth="1"/>
    <x:col min="5" max="5" width="12" hidden="0" customWidth="1"/>
    <x:col min="6" max="6" width="16" hidden="0" customWidth="1"/>
    <x:col min="7" max="7" width="16" hidden="0" customWidth="1"/>
    <x:col min="8" max="8" width="16" hidden="0" customWidth="1"/>
  </x:cols>
  <x:sheetData>
    <x:row r="2">
      <x:c r="A2" s="10" t="str">
        <x:v>Forward-Model Mismatch Review Matrix</x:v>
      </x:c>
    </x:row>
    <x:row r="3">
      <x:c r="A3" s="11"/>
      <x:c r="B3" s="11"/>
      <x:c r="C3" s="11"/>
      <x:c r="D3" s="11"/>
      <x:c r="E3" s="11"/>
      <x:c r="F3" s="11"/>
      <x:c r="G3" s="11"/>
      <x:c r="H3" s="11"/>
    </x:row>
    <x:row r="5">
      <x:c r="A5" s="14" t="str">
        <x:v>Review status</x:v>
      </x:c>
      <x:c r="B5" s="15" t="str">
        <x:v>Value</x:v>
      </x:c>
      <x:c r="D5" s="14" t="str">
        <x:v>Research stream</x:v>
      </x:c>
      <x:c r="E5" s="15" t="str">
        <x:v>Papers</x:v>
      </x:c>
    </x:row>
    <x:row r="6">
      <x:c r="A6" s="16" t="str">
        <x:v>Candidate seed records</x:v>
      </x:c>
      <x:c r="B6" s="17" t="n">
        <x:v>90</x:v>
      </x:c>
      <x:c r="D6" s="16" t="str">
        <x:v>Mismatch / calibration</x:v>
      </x:c>
      <x:c r="E6" s="17" t="n">
        <x:v>16</x:v>
      </x:c>
    </x:row>
    <x:row r="7">
      <x:c r="A7" s="16" t="str">
        <x:v>Formal database records imported</x:v>
      </x:c>
      <x:c r="B7" s="17" t="n">
        <x:v>0</x:v>
      </x:c>
      <x:c r="D7" s="16" t="str">
        <x:v>Blind diffusion</x:v>
      </x:c>
      <x:c r="E7" s="17" t="n">
        <x:v>24</x:v>
      </x:c>
    </x:row>
    <x:row r="8">
      <x:c r="A8" s="16" t="str">
        <x:v>Duplicates removed</x:v>
      </x:c>
      <x:c r="B8" s="17" t="n">
        <x:v>0</x:v>
      </x:c>
      <x:c r="D8" s="16" t="str">
        <x:v>All-in-one restoration</x:v>
      </x:c>
      <x:c r="E8" s="17" t="n">
        <x:v>30</x:v>
      </x:c>
    </x:row>
    <x:row r="9">
      <x:c r="A9" s="16" t="str">
        <x:v>Formal title/abstract screened</x:v>
      </x:c>
      <x:c r="B9" s="17" t="n">
        <x:v>0</x:v>
      </x:c>
      <x:c r="D9" s="18" t="str">
        <x:v>Reliability / UQ</x:v>
      </x:c>
      <x:c r="E9" s="19" t="n">
        <x:v>20</x:v>
      </x:c>
    </x:row>
    <x:row r="10" ht="32" customHeight="1">
      <x:c r="A10" s="16" t="str">
        <x:v>Formal full-text assessments</x:v>
      </x:c>
      <x:c r="B10" s="17" t="n">
        <x:v>0</x:v>
      </x:c>
      <x:c r="D10" s="68" t="str">
        <x:v>AI pilot — not formal</x:v>
      </x:c>
      <x:c r="E10" s="68" t="str">
        <x:v>Records</x:v>
      </x:c>
    </x:row>
    <x:row r="11" ht="32" customHeight="1">
      <x:c r="A11" s="16" t="str">
        <x:v>Formally included studies</x:v>
      </x:c>
      <x:c r="B11" s="17" t="n">
        <x:v>0</x:v>
      </x:c>
      <x:c r="D11" s="69" t="str">
        <x:v>Pilot records triaged</x:v>
      </x:c>
      <x:c r="E11" s="70" t="n">
        <x:f>COUNTIF('Screening Log'!$I$2:$I$101,"AI pilot: advance")+COUNTIF('Screening Log'!$I$2:$I$101,"AI pilot: unclear")</x:f>
        <x:v>90</x:v>
      </x:c>
    </x:row>
    <x:row r="12" ht="32" customHeight="1">
      <x:c r="A12" s="16" t="str">
        <x:v>Formally excluded studies</x:v>
      </x:c>
      <x:c r="B12" s="17" t="n">
        <x:v>0</x:v>
      </x:c>
      <x:c r="D12" s="69" t="str">
        <x:v>Advance to full text</x:v>
      </x:c>
      <x:c r="E12" s="70" t="n">
        <x:f>COUNTIF('Screening Log'!$I$2:$I$101,"AI pilot: advance")</x:f>
        <x:v>82</x:v>
      </x:c>
    </x:row>
    <x:row r="13" ht="32" customHeight="1">
      <x:c r="A13" s="18" t="str">
        <x:v>PRISMA screening</x:v>
      </x:c>
      <x:c r="B13" s="19" t="str">
        <x:v>Not started</x:v>
      </x:c>
      <x:c r="D13" s="69" t="str">
        <x:v>Unclear / retrieve</x:v>
      </x:c>
      <x:c r="E13" s="70" t="n">
        <x:f>COUNTIF('Screening Log'!$I$2:$I$101,"AI pilot: unclear")</x:f>
        <x:v>8</x:v>
      </x:c>
    </x:row>
    <x:row r="14" ht="32" customHeight="1">
      <x:c r="D14" s="69" t="str">
        <x:v>Not pilot-triaged</x:v>
      </x:c>
      <x:c r="E14" s="70" t="n">
        <x:f>B6-E11</x:f>
        <x:v>0</x:v>
      </x:c>
    </x:row>
    <x:row r="15" ht="30" customHeight="1">
      <x:c r="D15" s="98" t="str">
        <x:v>AI full-text assessed</x:v>
      </x:c>
      <x:c r="E15" s="98" t="n">
        <x:f>COUNTIF('Screening Log'!J2:J101,"AI full-text: include")+COUNTIF('Screening Log'!J2:J101,"AI full-text: exclude")</x:f>
        <x:v>60</x:v>
      </x:c>
    </x:row>
    <x:row r="16">
      <x:c r="A16" s="13" t="str">
        <x:v>Nearest-method overlap</x:v>
      </x:c>
      <x:c r="B16" s="13"/>
      <x:c r="C16" s="13"/>
      <x:c r="D16" s="13"/>
      <x:c r="E16" s="13"/>
      <x:c r="F16" s="13"/>
      <x:c r="G16" s="13"/>
      <x:c r="H16" s="13"/>
    </x:row>
    <x:row r="17" ht="30" customHeight="1">
      <x:c r="A17" s="32" t="str">
        <x:v>Instability tests, semantic fidelity, temporal compound restoration and restoration rollback have existing comparators. See screening/full_text_06_report.md for assumptions and version-specific limits. Earlier checkpoints remain available. Novelty is unestablished.</x:v>
      </x:c>
      <x:c r="B17" s="32"/>
      <x:c r="C17" s="32"/>
      <x:c r="D17" s="32"/>
      <x:c r="E17" s="32"/>
      <x:c r="F17" s="32"/>
      <x:c r="G17" s="32"/>
      <x:c r="H17" s="32"/>
    </x:row>
    <x:row r="18" ht="30" customHeight="1">
      <x:c r="A18" s="32"/>
      <x:c r="B18" s="32"/>
      <x:c r="C18" s="32"/>
      <x:c r="D18" s="32"/>
      <x:c r="E18" s="32"/>
      <x:c r="F18" s="32"/>
      <x:c r="G18" s="32"/>
      <x:c r="H18" s="32"/>
    </x:row>
    <x:row r="19" ht="30" customHeight="1">
      <x:c r="A19" s="32"/>
      <x:c r="B19" s="32"/>
      <x:c r="C19" s="32"/>
      <x:c r="D19" s="32"/>
      <x:c r="E19" s="32"/>
      <x:c r="F19" s="32"/>
      <x:c r="G19" s="32"/>
      <x:c r="H19" s="32"/>
    </x:row>
    <x:row r="20">
      <x:c r="A20" s="33"/>
      <x:c r="B20" s="33"/>
      <x:c r="C20" s="33"/>
      <x:c r="D20" s="33"/>
      <x:c r="E20" s="33"/>
      <x:c r="F20" s="33"/>
      <x:c r="G20" s="33"/>
      <x:c r="H20" s="33"/>
    </x:row>
    <x:row r="21">
      <x:c r="A21" s="34" t="str">
        <x:v>Current decision</x:v>
      </x:c>
      <x:c r="B21" s="34"/>
      <x:c r="C21" s="34"/>
      <x:c r="D21" s="34"/>
      <x:c r="E21" s="34"/>
      <x:c r="F21" s="34"/>
      <x:c r="G21" s="34"/>
      <x:c r="H21" s="34"/>
    </x:row>
    <x:row r="22" ht="30" customHeight="1">
      <x:c r="A22" s="35" t="str">
        <x:f>"Initial triage: 90/90. AI full-text assessed: "&amp;E15&amp;"/90 ("&amp;COUNTIF('Screening Log'!J2:J101,"AI full-text: include")&amp;" include, "&amp;COUNTIF('Screening Log'!J2:J101,"AI full-text: exclude")&amp;" exclude); "&amp;(B6-E15)&amp;" remain. Human adjudication and formal inclusion pending. Novelty unestablished. Only explicitly logged features are verified."</x:f>
        <x:v>Initial triage: 90/90. AI full-text assessed: 60/90 (59 include, 1 exclude); 30 remain. Human adjudication and formal inclusion pending. Novelty unestablished. Only explicitly logged features are verified.</x:v>
      </x:c>
      <x:c r="B22" s="35"/>
      <x:c r="C22" s="35"/>
      <x:c r="D22" s="35"/>
      <x:c r="E22" s="35"/>
      <x:c r="F22" s="35"/>
      <x:c r="G22" s="35"/>
      <x:c r="H22" s="35"/>
    </x:row>
    <x:row r="23" ht="30" customHeight="1">
      <x:c r="A23" s="35"/>
      <x:c r="B23" s="35"/>
      <x:c r="C23" s="35"/>
      <x:c r="D23" s="35"/>
      <x:c r="E23" s="35"/>
      <x:c r="F23" s="35"/>
      <x:c r="G23" s="35"/>
      <x:c r="H23" s="35"/>
    </x:row>
    <x:row r="24" ht="30" customHeight="1">
      <x:c r="A24" s="35"/>
      <x:c r="B24" s="35"/>
      <x:c r="C24" s="35"/>
      <x:c r="D24" s="35"/>
      <x:c r="E24" s="35"/>
      <x:c r="F24" s="35"/>
      <x:c r="G24" s="35"/>
      <x:c r="H24" s="35"/>
    </x:row>
    <x:row r="25">
      <x:c r="A25" s="33"/>
      <x:c r="B25" s="33"/>
      <x:c r="C25" s="33"/>
      <x:c r="D25" s="33"/>
      <x:c r="E25" s="33"/>
      <x:c r="F25" s="33"/>
      <x:c r="G25" s="33"/>
      <x:c r="H25" s="33"/>
    </x:row>
    <x:row r="26">
      <x:c r="A26" s="34" t="str">
        <x:v>Candidate question — novelty unestablished</x:v>
      </x:c>
      <x:c r="B26" s="34"/>
      <x:c r="C26" s="34"/>
      <x:c r="D26" s="34"/>
      <x:c r="E26" s="34"/>
      <x:c r="F26" s="34"/>
      <x:c r="G26" s="34"/>
      <x:c r="H26" s="34"/>
    </x:row>
    <x:row r="27" ht="30" customHeight="1">
      <x:c r="A27" s="36" t="str">
        <x:v>Can accounting for uncertainty in an estimated forward operator improve the reliability of selectively released image detail when the true acquisition process leaves the assumed model family? Test against the nearest methods; a longer feature checklist does not establish novelty.</x:v>
      </x:c>
      <x:c r="B27" s="36"/>
      <x:c r="C27" s="36"/>
      <x:c r="D27" s="36"/>
      <x:c r="E27" s="36"/>
      <x:c r="F27" s="36"/>
      <x:c r="G27" s="36"/>
      <x:c r="H27" s="36"/>
    </x:row>
    <x:row r="28" ht="30" customHeight="1">
      <x:c r="A28" s="36"/>
      <x:c r="B28" s="36"/>
      <x:c r="C28" s="36"/>
      <x:c r="D28" s="36"/>
      <x:c r="E28" s="36"/>
      <x:c r="F28" s="36"/>
      <x:c r="G28" s="36"/>
      <x:c r="H28" s="36"/>
    </x:row>
    <x:row r="29" ht="30" customHeight="1">
      <x:c r="A29" s="36"/>
      <x:c r="B29" s="36"/>
      <x:c r="C29" s="36"/>
      <x:c r="D29" s="36"/>
      <x:c r="E29" s="36"/>
      <x:c r="F29" s="36"/>
      <x:c r="G29" s="36"/>
      <x:c r="H29" s="36"/>
    </x:row>
  </x:sheetData>
  <x:mergeCells>
    <x:mergeCell ref="A2:H2"/>
    <x:mergeCell ref="A16:H16"/>
    <x:mergeCell ref="A17:H19"/>
    <x:mergeCell ref="A21:H21"/>
    <x:mergeCell ref="A22:H24"/>
    <x:mergeCell ref="A26:H26"/>
    <x:mergeCell ref="A27:H29"/>
  </x:mergeCells>
  <x:pageMargins left="0.7" right="0.7" top="0.75" bottom="0.75" header="0.3" footer="0.3"/>
  <x:drawing xmlns:r="http://schemas.openxmlformats.org/officeDocument/2006/relationships" r:id="R5610e083fbcc4dc0"/>
</x:worksheet>
</file>

<file path=xl/worksheets/sheet2.xml><?xml version="1.0" encoding="utf-8"?>
<x:worksheet xmlns:x="http://schemas.openxmlformats.org/spreadsheetml/2006/main">
  <x:sheetPr>
    <x:tabColor rgb="FF5B9BD5"/>
  </x:sheetPr>
  <x:sheetViews>
    <x:sheetView showGridLines="0" workbookViewId="0">
      <x:pane xSplit="4" ySplit="1" topLeftCell="E2" activePane="bottomRight" state="frozen"/>
    </x:sheetView>
  </x:sheetViews>
  <x:sheetFormatPr defaultRowHeight="15"/>
  <x:cols>
    <x:col min="1" max="1" width="10" hidden="0" customWidth="1"/>
    <x:col min="2" max="2" width="8" hidden="0" customWidth="1"/>
    <x:col min="3" max="3" width="20" hidden="0" customWidth="1"/>
    <x:col min="4" max="4" width="52" hidden="0" customWidth="1"/>
    <x:col min="5" max="5" width="16" hidden="0" customWidth="1"/>
    <x:col min="6" max="6" width="16" hidden="0" customWidth="1"/>
    <x:col min="7" max="7" width="16" hidden="0" customWidth="1"/>
    <x:col min="8" max="8" width="21" hidden="0" customWidth="1"/>
    <x:col min="9" max="9" width="21" hidden="0" customWidth="1"/>
    <x:col min="10" max="10" width="21" hidden="0" customWidth="1"/>
    <x:col min="11" max="11" width="21" hidden="0" customWidth="1"/>
    <x:col min="12" max="12" width="21" hidden="0" customWidth="1"/>
    <x:col min="13" max="13" width="21" hidden="0" customWidth="1"/>
    <x:col min="14" max="14" width="21"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8" hidden="0" customWidth="1"/>
    <x:col min="26" max="26" width="18" hidden="0" customWidth="1"/>
    <x:col min="27" max="27" width="18" hidden="0" customWidth="1"/>
    <x:col min="28" max="28" width="18" hidden="0" customWidth="1"/>
    <x:col min="29" max="29" width="45" hidden="0" customWidth="1"/>
    <x:col min="30" max="30" width="45" hidden="0" customWidth="1"/>
    <x:col min="31" max="31" width="45" hidden="0" customWidth="1"/>
    <x:col min="32" max="32" width="96" hidden="0" customWidth="1"/>
  </x:cols>
  <x:sheetData>
    <x:row r="1">
      <x:c r="A1" s="6" t="str">
        <x:v>Study ID</x:v>
      </x:c>
      <x:c r="B1" s="6" t="str">
        <x:v>Year</x:v>
      </x:c>
      <x:c r="C1" s="6" t="str">
        <x:v>Authors</x:v>
      </x:c>
      <x:c r="D1" s="6" t="str">
        <x:v>Title</x:v>
      </x:c>
      <x:c r="E1" s="6" t="str">
        <x:v>Venue</x:v>
      </x:c>
      <x:c r="F1" s="6" t="str">
        <x:v>Publication type</x:v>
      </x:c>
      <x:c r="G1" s="6" t="str">
        <x:v>Peer reviewed</x:v>
      </x:c>
      <x:c r="H1" s="6" t="str">
        <x:v>Modality</x:v>
      </x:c>
      <x:c r="I1" s="6" t="str">
        <x:v>Data domain</x:v>
      </x:c>
      <x:c r="J1" s="6" t="str">
        <x:v>Forward model</x:v>
      </x:c>
      <x:c r="K1" s="6" t="str">
        <x:v>Operator access</x:v>
      </x:c>
      <x:c r="L1" s="6" t="str">
        <x:v>Mismatch type</x:v>
      </x:c>
      <x:c r="M1" s="6" t="str">
        <x:v>Solver family</x:v>
      </x:c>
      <x:c r="N1" s="6" t="str">
        <x:v>Physics integration</x:v>
      </x:c>
      <x:c r="O1" s="6" t="str">
        <x:v>Joint image/operator</x:v>
      </x:c>
      <x:c r="P1" s="6" t="str">
        <x:v>Image UQ</x:v>
      </x:c>
      <x:c r="Q1" s="6" t="str">
        <x:v>Operator UQ</x:v>
      </x:c>
      <x:c r="R1" s="6" t="str">
        <x:v>Calibration</x:v>
      </x:c>
      <x:c r="S1" s="6" t="str">
        <x:v>OOD test</x:v>
      </x:c>
      <x:c r="T1" s="6" t="str">
        <x:v>Real data/hardware</x:v>
      </x:c>
      <x:c r="U1" s="6" t="str">
        <x:v>Compound degradation</x:v>
      </x:c>
      <x:c r="V1" s="6" t="str">
        <x:v>Time varying</x:v>
      </x:c>
      <x:c r="W1" s="6" t="str">
        <x:v>Hallucination test</x:v>
      </x:c>
      <x:c r="X1" s="6" t="str">
        <x:v>Abstention</x:v>
      </x:c>
      <x:c r="Y1" s="6" t="str">
        <x:v>Code available</x:v>
      </x:c>
      <x:c r="Z1" s="6" t="str">
        <x:v>Evidence status</x:v>
      </x:c>
      <x:c r="AA1" s="6" t="str">
        <x:v>Inclusion decision</x:v>
      </x:c>
      <x:c r="AB1" s="6" t="str">
        <x:v>Closest competitor</x:v>
      </x:c>
      <x:c r="AC1" s="6" t="str">
        <x:v>Key contribution</x:v>
      </x:c>
      <x:c r="AD1" s="6" t="str">
        <x:v>Gap left open</x:v>
      </x:c>
      <x:c r="AE1" s="6" t="str">
        <x:v>Primary source URL</x:v>
      </x:c>
      <x:c r="AF1" s="6" t="str">
        <x:v>Review notes</x:v>
      </x:c>
    </x:row>
    <x:row r="2" ht="240" customHeight="1">
      <x:c r="A2" s="7" t="str">
        <x:v>P001</x:v>
      </x:c>
      <x:c r="B2" s="8" t="n">
        <x:v>2020</x:v>
      </x:c>
      <x:c r="C2" s="9" t="str">
        <x:v>Nan, Yuesong; Ji, Hui</x:v>
      </x:c>
      <x:c r="D2" s="9" t="str">
        <x:v>Deep Learning for Handling Kernel/Model Uncertainty in Image Deconvolution</x:v>
      </x:c>
      <x:c r="E2" s="9" t="str">
        <x:v>CVPR</x:v>
      </x:c>
      <x:c r="F2" s="9" t="str">
        <x:v>Conference</x:v>
      </x:c>
      <x:c r="G2" s="9" t="str">
        <x:v>Yes</x:v>
      </x:c>
      <x:c r="H2" s="9" t="str">
        <x:v>Deblurring</x:v>
      </x:c>
      <x:c r="I2" s="9" t="str">
        <x:v>Natural images</x:v>
      </x:c>
      <x:c r="J2" s="9" t="str">
        <x:v>Convolutional blur</x:v>
      </x:c>
      <x:c r="K2" s="9" t="str">
        <x:v>Approximate</x:v>
      </x:c>
      <x:c r="L2" s="9" t="str">
        <x:v>Kernel/model error</x:v>
      </x:c>
      <x:c r="M2" s="9" t="str">
        <x:v>Deep TLS unrolling</x:v>
      </x:c>
      <x:c r="N2" s="9" t="str">
        <x:v>Hard/iterative</x:v>
      </x:c>
      <x:c r="O2" s="9" t="str">
        <x:v>Partial</x:v>
      </x:c>
      <x:c r="P2" s="9" t="str">
        <x:v>No</x:v>
      </x:c>
      <x:c r="Q2" s="9" t="str">
        <x:v>Partial</x:v>
      </x:c>
      <x:c r="R2" s="9" t="str">
        <x:v>No</x:v>
      </x:c>
      <x:c r="S2" s="9" t="str">
        <x:v>Yes</x:v>
      </x:c>
      <x:c r="T2" s="9" t="str">
        <x:v>Partial</x:v>
      </x:c>
      <x:c r="U2" s="9" t="str">
        <x:v>No</x:v>
      </x:c>
      <x:c r="V2" s="9" t="str">
        <x:v>No</x:v>
      </x:c>
      <x:c r="W2" s="9" t="str">
        <x:v>No</x:v>
      </x:c>
      <x:c r="X2" s="9" t="str">
        <x:v>No</x:v>
      </x:c>
      <x:c r="Y2" s="9" t="str">
        <x:v>Unknown</x:v>
      </x:c>
      <x:c r="Z2" s="9" t="str">
        <x:v>Title/project checked; abstract pending</x:v>
      </x:c>
      <x:c r="AA2" s="9" t="str">
        <x:v>Pending formal eligibility</x:v>
      </x:c>
      <x:c r="AB2" s="9" t="str">
        <x:v>Yes</x:v>
      </x:c>
      <x:c r="AC2" s="9" t="str">
        <x:v>Error-in-variables unrolling for inaccurate kernels</x:v>
      </x:c>
      <x:c r="AD2" s="9" t="str">
        <x:v>No joint calibrated image/operator uncertainty; no compound acquisition chain</x:v>
      </x:c>
      <x:c r="AE2" s="9" t="str">
        <x:v>https://doi.org/10.1109/CVPR42600.2020.00246</x:v>
      </x:c>
      <x:c r="AF2" s="75" t="str">
        <x:v>Cornerstone mismatch paper | AI pilot 2026-09-16; advance to full text. Kernel/model uncertainty. Human adjudication and full-text coding pending. Evidence: https://github.com/ysnan/NBD_KerUnc | Batch 03 revisit 2026-09-16: Keep the prior title/project-based advancement; full technical evidence remains pending. Do not upgrade feature codes from search snippets. Source: https://github.com/ysnan/NBD_KerUnc</x:v>
      </x:c>
    </x:row>
    <x:row r="3" ht="176" customHeight="1">
      <x:c r="A3" s="85" t="str">
        <x:v>P002</x:v>
      </x:c>
      <x:c r="B3" s="86" t="n">
        <x:v>2020</x:v>
      </x:c>
      <x:c r="C3" s="75" t="str">
        <x:v>Li et al.</x:v>
      </x:c>
      <x:c r="D3" s="75" t="str">
        <x:v>NETT: Solving Inverse Problems with Deep Neural Networks</x:v>
      </x:c>
      <x:c r="E3" s="75" t="str">
        <x:v>Inverse Problems</x:v>
      </x:c>
      <x:c r="F3" s="75" t="str">
        <x:v>Journal</x:v>
      </x:c>
      <x:c r="G3" s="75" t="str">
        <x:v>Yes</x:v>
      </x:c>
      <x:c r="H3" s="75" t="str">
        <x:v>Tomography/inverse imaging</x:v>
      </x:c>
      <x:c r="I3" s="75" t="str">
        <x:v>Scientific imaging</x:v>
      </x:c>
      <x:c r="J3" s="75" t="str">
        <x:v>Generic operator</x:v>
      </x:c>
      <x:c r="K3" s="75" t="str">
        <x:v>Known</x:v>
      </x:c>
      <x:c r="L3" s="75" t="str">
        <x:v>None central</x:v>
      </x:c>
      <x:c r="M3" s="75" t="str">
        <x:v>Learned regularisation</x:v>
      </x:c>
      <x:c r="N3" s="75" t="str">
        <x:v>Soft/variational</x:v>
      </x:c>
      <x:c r="O3" s="75" t="str">
        <x:v>No</x:v>
      </x:c>
      <x:c r="P3" s="75" t="str">
        <x:v>No</x:v>
      </x:c>
      <x:c r="Q3" s="75" t="str">
        <x:v>No</x:v>
      </x:c>
      <x:c r="R3" s="75" t="str">
        <x:v>No</x:v>
      </x:c>
      <x:c r="S3" s="75" t="str">
        <x:v>Yes</x:v>
      </x:c>
      <x:c r="T3" s="75" t="str">
        <x:v>No</x:v>
      </x:c>
      <x:c r="U3" s="75" t="str">
        <x:v>No</x:v>
      </x:c>
      <x:c r="V3" s="75" t="str">
        <x:v>No</x:v>
      </x:c>
      <x:c r="W3" s="75" t="str">
        <x:v>No</x:v>
      </x:c>
      <x:c r="X3" s="75" t="str">
        <x:v>No</x:v>
      </x:c>
      <x:c r="Y3" s="75" t="str">
        <x:v>Unknown</x:v>
      </x:c>
      <x:c r="Z3" s="75" t="str">
        <x:v>AI full-text eligibility assessed; selected features verified</x:v>
      </x:c>
      <x:c r="AA3" s="75" t="str">
        <x:v>Pending formal eligibility</x:v>
      </x:c>
      <x:c r="AB3" s="75" t="str">
        <x:v>No</x:v>
      </x:c>
      <x:c r="AC3" s="75" t="str">
        <x:v>Learned regulariser with convergence analysis</x:v>
      </x:c>
      <x:c r="AD3" s="75" t="str">
        <x:v>Not a joint mismatch/UQ/failure system</x:v>
      </x:c>
      <x:c r="AE3" s="75" t="str">
        <x:v>https://doi.org/10.1088/1361-6420/ab6d57</x:v>
      </x:c>
      <x:c r="AF3" s="75" t="str">
        <x:v>Theoretical physics-informed baseline | AI pilot 2026-09-16; advance to full text. Potential OOD reconstruction reliability. Human adjudication and full-text coding pending. Evidence: https://arxiv.org/abs/1803.00092 | AI full-text 2026-09-16: include; human pending. Verified fields: O, P, Q, R, S, T, X. Evidence/version/read extent: screening/full_text_06.json (P002). Unlisted feature codes remain provisional.</x:v>
      </x:c>
    </x:row>
    <x:row r="4" ht="176" customHeight="1">
      <x:c r="A4" s="85" t="str">
        <x:v>P003</x:v>
      </x:c>
      <x:c r="B4" s="86" t="n">
        <x:v>2020</x:v>
      </x:c>
      <x:c r="C4" s="75" t="str">
        <x:v>Antun et al.</x:v>
      </x:c>
      <x:c r="D4" s="75" t="str">
        <x:v>On Instabilities of Deep Learning in Image Reconstruction and the Potential Costs of AI</x:v>
      </x:c>
      <x:c r="E4" s="75" t="str">
        <x:v>PNAS</x:v>
      </x:c>
      <x:c r="F4" s="75" t="str">
        <x:v>Journal</x:v>
      </x:c>
      <x:c r="G4" s="75" t="str">
        <x:v>Yes</x:v>
      </x:c>
      <x:c r="H4" s="75" t="str">
        <x:v>MRI/CT</x:v>
      </x:c>
      <x:c r="I4" s="75" t="str">
        <x:v>Medical imaging</x:v>
      </x:c>
      <x:c r="J4" s="75" t="str">
        <x:v>Sampling operator</x:v>
      </x:c>
      <x:c r="K4" s="75" t="str">
        <x:v>Known</x:v>
      </x:c>
      <x:c r="L4" s="75" t="str">
        <x:v>Perturbation/structural shift</x:v>
      </x:c>
      <x:c r="M4" s="75" t="str">
        <x:v>Diagnostic study</x:v>
      </x:c>
      <x:c r="N4" s="75" t="str">
        <x:v>None</x:v>
      </x:c>
      <x:c r="O4" s="75" t="str">
        <x:v>No</x:v>
      </x:c>
      <x:c r="P4" s="75" t="str">
        <x:v>No</x:v>
      </x:c>
      <x:c r="Q4" s="75" t="str">
        <x:v>No</x:v>
      </x:c>
      <x:c r="R4" s="75" t="str">
        <x:v>No</x:v>
      </x:c>
      <x:c r="S4" s="75" t="str">
        <x:v>Yes</x:v>
      </x:c>
      <x:c r="T4" s="75" t="str">
        <x:v>No</x:v>
      </x:c>
      <x:c r="U4" s="75" t="str">
        <x:v>No</x:v>
      </x:c>
      <x:c r="V4" s="75" t="str">
        <x:v>No</x:v>
      </x:c>
      <x:c r="W4" s="75" t="str">
        <x:v>Yes</x:v>
      </x:c>
      <x:c r="X4" s="75" t="str">
        <x:v>No</x:v>
      </x:c>
      <x:c r="Y4" s="75" t="str">
        <x:v>Yes</x:v>
      </x:c>
      <x:c r="Z4" s="75" t="str">
        <x:v>AI full-text eligibility assessed; selected features verified</x:v>
      </x:c>
      <x:c r="AA4" s="75" t="str">
        <x:v>Pending formal eligibility</x:v>
      </x:c>
      <x:c r="AB4" s="75" t="str">
        <x:v>Yes</x:v>
      </x:c>
      <x:c r="AC4" s="75" t="str">
        <x:v>Demonstrates severe instability and missing structures</x:v>
      </x:c>
      <x:c r="AD4" s="75" t="str">
        <x:v>Diagnoses risk but does not build a unified corrective solver</x:v>
      </x:c>
      <x:c r="AE4" s="75" t="str">
        <x:v>https://doi.org/10.1073/pnas.1907377117</x:v>
      </x:c>
      <x:c r="AF4" s="75" t="str">
        <x:v>Reliability foundation | AI pilot 2026-09-16; advance to full text. Reconstruction instability and missing structure. Human adjudication and full-text coding pending. Evidence: https://arxiv.org/abs/1902.05300 | AI full-text 2026-09-16: include; human pending. Verified fields: O, P, Q, R, S, T, W, X. Evidence/version/read extent: screening/full_text_06.json (P003). Unlisted feature codes remain provisional.</x:v>
      </x:c>
    </x:row>
    <x:row r="5">
      <x:c r="A5" s="7" t="str">
        <x:v>P004</x:v>
      </x:c>
      <x:c r="B5" s="8" t="n">
        <x:v>2020</x:v>
      </x:c>
      <x:c r="C5" s="9" t="str">
        <x:v>Rim, Jaesung; Lee, Haeyun; Won, Jucheol; Cho, Sunghyun</x:v>
      </x:c>
      <x:c r="D5" s="9" t="str">
        <x:v>Real-World Blur Dataset for Learning and Benchmarking Deblurring Algorithms</x:v>
      </x:c>
      <x:c r="E5" s="9" t="str">
        <x:v>ECCV</x:v>
      </x:c>
      <x:c r="F5" s="9" t="str">
        <x:v>Conference</x:v>
      </x:c>
      <x:c r="G5" s="9" t="str">
        <x:v>Yes</x:v>
      </x:c>
      <x:c r="H5" s="9" t="str">
        <x:v>Deblurring</x:v>
      </x:c>
      <x:c r="I5" s="9" t="str">
        <x:v>Natural images</x:v>
      </x:c>
      <x:c r="J5" s="9" t="str">
        <x:v>Camera motion blur</x:v>
      </x:c>
      <x:c r="K5" s="9" t="str">
        <x:v>Unknown</x:v>
      </x:c>
      <x:c r="L5" s="9" t="str">
        <x:v>Real blur</x:v>
      </x:c>
      <x:c r="M5" s="9" t="str">
        <x:v>Dataset/benchmark</x:v>
      </x:c>
      <x:c r="N5" s="9" t="str">
        <x:v>None</x:v>
      </x:c>
      <x:c r="O5" s="9" t="str">
        <x:v>No</x:v>
      </x:c>
      <x:c r="P5" s="9" t="str">
        <x:v>No</x:v>
      </x:c>
      <x:c r="Q5" s="9" t="str">
        <x:v>No</x:v>
      </x:c>
      <x:c r="R5" s="9" t="str">
        <x:v>No</x:v>
      </x:c>
      <x:c r="S5" s="9" t="str">
        <x:v>Partial</x:v>
      </x:c>
      <x:c r="T5" s="9" t="str">
        <x:v>Yes</x:v>
      </x:c>
      <x:c r="U5" s="9" t="str">
        <x:v>No</x:v>
      </x:c>
      <x:c r="V5" s="9" t="str">
        <x:v>No</x:v>
      </x:c>
      <x:c r="W5" s="9" t="str">
        <x:v>No</x:v>
      </x:c>
      <x:c r="X5" s="9" t="str">
        <x:v>No</x:v>
      </x:c>
      <x:c r="Y5" s="9" t="str">
        <x:v>Yes</x:v>
      </x:c>
      <x:c r="Z5" s="9" t="str">
        <x:v>Abstract inspected; full-text pending</x:v>
      </x:c>
      <x:c r="AA5" s="9" t="str">
        <x:v>Pending formal eligibility</x:v>
      </x:c>
      <x:c r="AB5" s="9" t="str">
        <x:v>No</x:v>
      </x:c>
      <x:c r="AC5" s="9" t="str">
        <x:v>Paired real blurred and sharp images</x:v>
      </x:c>
      <x:c r="AD5" s="9" t="str">
        <x:v>Blur-specific; no full surveillance pipeline or UQ</x:v>
      </x:c>
      <x:c r="AE5" s="9" t="str">
        <x:v>https://doi.org/10.1007/978-3-030-58595-2_12</x:v>
      </x:c>
      <x:c r="AF5" s="9" t="str">
        <x:v>Data source candidate | AI pilot 2026-09-16; advance to full text. Real blur and synthetic-to-real degradation gap. Human adjudication and full-text coding pending. Evidence: https://link.springer.com/chapter/10.1007/978-3-030-58595-2_12</x:v>
      </x:c>
    </x:row>
    <x:row r="6" ht="176" customHeight="1">
      <x:c r="A6" s="85" t="str">
        <x:v>P005</x:v>
      </x:c>
      <x:c r="B6" s="86" t="n">
        <x:v>2021</x:v>
      </x:c>
      <x:c r="C6" s="75" t="str">
        <x:v>Zeng &amp; Lam</x:v>
      </x:c>
      <x:c r="D6" s="75" t="str">
        <x:v>Robust Reconstruction With Deep Learning to Handle Model Mismatch in Lensless Imaging</x:v>
      </x:c>
      <x:c r="E6" s="75" t="str">
        <x:v>IEEE TCI</x:v>
      </x:c>
      <x:c r="F6" s="75" t="str">
        <x:v>Journal</x:v>
      </x:c>
      <x:c r="G6" s="75" t="str">
        <x:v>Yes</x:v>
      </x:c>
      <x:c r="H6" s="75" t="str">
        <x:v>Lensless imaging</x:v>
      </x:c>
      <x:c r="I6" s="75" t="str">
        <x:v>Computational imaging</x:v>
      </x:c>
      <x:c r="J6" s="75" t="str">
        <x:v>PSF/lensless model</x:v>
      </x:c>
      <x:c r="K6" s="75" t="str">
        <x:v>Approximate</x:v>
      </x:c>
      <x:c r="L6" s="75" t="str">
        <x:v>PSF and angular-model mismatch</x:v>
      </x:c>
      <x:c r="M6" s="75" t="str">
        <x:v>Unrolled mismatch-compensation network</x:v>
      </x:c>
      <x:c r="N6" s="75" t="str">
        <x:v>Hard/iterative</x:v>
      </x:c>
      <x:c r="O6" s="75" t="str">
        <x:v>No</x:v>
      </x:c>
      <x:c r="P6" s="75" t="str">
        <x:v>No</x:v>
      </x:c>
      <x:c r="Q6" s="75" t="str">
        <x:v>No</x:v>
      </x:c>
      <x:c r="R6" s="75" t="str">
        <x:v>No</x:v>
      </x:c>
      <x:c r="S6" s="75" t="str">
        <x:v>Yes</x:v>
      </x:c>
      <x:c r="T6" s="75" t="str">
        <x:v>Yes</x:v>
      </x:c>
      <x:c r="U6" s="75" t="str">
        <x:v>No</x:v>
      </x:c>
      <x:c r="V6" s="75" t="str">
        <x:v>No</x:v>
      </x:c>
      <x:c r="W6" s="75" t="str">
        <x:v>No</x:v>
      </x:c>
      <x:c r="X6" s="75" t="str">
        <x:v>No</x:v>
      </x:c>
      <x:c r="Y6" s="75" t="str">
        <x:v>Unknown</x:v>
      </x:c>
      <x:c r="Z6" s="75" t="str">
        <x:v>AI full-text eligibility assessed; selected features verified</x:v>
      </x:c>
      <x:c r="AA6" s="75" t="str">
        <x:v>Pending formal eligibility</x:v>
      </x:c>
      <x:c r="AB6" s="75" t="str">
        <x:v>Yes</x:v>
      </x:c>
      <x:c r="AC6" s="75" t="str">
        <x:v>Learned mismatch compensation inside lensless reconstruction</x:v>
      </x:c>
      <x:c r="AD6" s="75" t="str">
        <x:v>Modality-specific; no calibrated UQ, support map or abstention</x:v>
      </x:c>
      <x:c r="AE6" s="75" t="str">
        <x:v>https://doi.org/10.1109/TCI.2021.3114542</x:v>
      </x:c>
      <x:c r="AF6" s="75" t="str">
        <x:v>Nearest early mismatch competitor | AI pilot 2026-09-16; advance to full text. Explicit forward-model mismatch compensation. Human adjudication and full-text coding pending. Evidence: https://www.eee.hku.hk/optima/pub/journal/2109_TCI.pdf | AI full-text 2026-09-16: include; human pending. Verified fields: O, P, Q, R, T, X. Evidence/version/read extent: screening/full_text_04.json (P005). Unlisted feature codes remain provisional.</x:v>
      </x:c>
    </x:row>
    <x:row r="7" ht="176" customHeight="1">
      <x:c r="A7" s="85" t="str">
        <x:v>P006</x:v>
      </x:c>
      <x:c r="B7" s="86" t="n">
        <x:v>2021</x:v>
      </x:c>
      <x:c r="C7" s="75" t="str">
        <x:v>Gilton et al.</x:v>
      </x:c>
      <x:c r="D7" s="75" t="str">
        <x:v>Deep Equilibrium Architectures for Inverse Problems in Imaging</x:v>
      </x:c>
      <x:c r="E7" s="75" t="str">
        <x:v>IEEE TCI</x:v>
      </x:c>
      <x:c r="F7" s="75" t="str">
        <x:v>Journal</x:v>
      </x:c>
      <x:c r="G7" s="75" t="str">
        <x:v>Yes</x:v>
      </x:c>
      <x:c r="H7" s="75" t="str">
        <x:v>Generic inverse imaging</x:v>
      </x:c>
      <x:c r="I7" s="75" t="str">
        <x:v>Computational imaging</x:v>
      </x:c>
      <x:c r="J7" s="75" t="str">
        <x:v>Linear operator</x:v>
      </x:c>
      <x:c r="K7" s="75" t="str">
        <x:v>Known</x:v>
      </x:c>
      <x:c r="L7" s="75" t="str">
        <x:v>None central</x:v>
      </x:c>
      <x:c r="M7" s="75" t="str">
        <x:v>Deep equilibrium/unrolling</x:v>
      </x:c>
      <x:c r="N7" s="75" t="str">
        <x:v>Hard/iterative</x:v>
      </x:c>
      <x:c r="O7" s="75" t="str">
        <x:v>No</x:v>
      </x:c>
      <x:c r="P7" s="75" t="str">
        <x:v>No</x:v>
      </x:c>
      <x:c r="Q7" s="75" t="str">
        <x:v>No</x:v>
      </x:c>
      <x:c r="R7" s="75" t="str">
        <x:v>No</x:v>
      </x:c>
      <x:c r="S7" s="75" t="str">
        <x:v>Partial</x:v>
      </x:c>
      <x:c r="T7" s="75" t="str">
        <x:v>Partial</x:v>
      </x:c>
      <x:c r="U7" s="75" t="str">
        <x:v>No</x:v>
      </x:c>
      <x:c r="V7" s="75" t="str">
        <x:v>No</x:v>
      </x:c>
      <x:c r="W7" s="75" t="str">
        <x:v>No</x:v>
      </x:c>
      <x:c r="X7" s="75" t="str">
        <x:v>No</x:v>
      </x:c>
      <x:c r="Y7" s="75" t="str">
        <x:v>Yes</x:v>
      </x:c>
      <x:c r="Z7" s="75" t="str">
        <x:v>AI full-text eligibility assessed; selected features verified</x:v>
      </x:c>
      <x:c r="AA7" s="75" t="str">
        <x:v>Pending formal eligibility</x:v>
      </x:c>
      <x:c r="AB7" s="75" t="str">
        <x:v>No</x:v>
      </x:c>
      <x:c r="AC7" s="75" t="str">
        <x:v>Infinite-depth fixed-point physics-aware reconstruction</x:v>
      </x:c>
      <x:c r="AD7" s="75" t="str">
        <x:v>Assumes usable known operator; mismatch reliability not central</x:v>
      </x:c>
      <x:c r="AE7" s="75" t="str">
        <x:v>https://doi.org/10.1109/TCI.2021.3118944</x:v>
      </x:c>
      <x:c r="AF7" s="75" t="str">
        <x:v>Architecture baseline | AI pilot 2026-09-16; unclear. Not established from abstract. Human adjudication and full-text coding pending. Evidence: https://arxiv.org/abs/2102.07944 | Batch 02 revisit 2026-09-16: The inspected experiments cover Gaussian deblurring, compressed sensing and MRI. A criterion-3 mismatch/reliability study is still not established. Retain unclear for human scope adjudication; this is not an exclusion or full-text eligibility decision. Source: https://arxiv.org/pdf/2102.07944 | Batch 03 revisit 2026-09-16: Known-operator reconstruction is established; criterion-3 relevance still needs adjudication. Prior selected-section inspection is not a complete eligibility review. Source: https://arxiv.org/abs/2102.07944 | AI full-text 2026-09-16: include; human pending. Verified fields: S. Evidence/version/read extent: screening/full_text_01.json (P006). Unlisted feature codes remain provisional.</x:v>
      </x:c>
    </x:row>
    <x:row r="8" ht="176" customHeight="1">
      <x:c r="A8" s="85" t="str">
        <x:v>P007</x:v>
      </x:c>
      <x:c r="B8" s="86" t="n">
        <x:v>2021</x:v>
      </x:c>
      <x:c r="C8" s="75" t="str">
        <x:v>Sun, He; Bouman, Katherine L.</x:v>
      </x:c>
      <x:c r="D8" s="75" t="str">
        <x:v>Deep Probabilistic Imaging: Uncertainty Quantification and Multi-modal Solution Characterization for Computational Imaging</x:v>
      </x:c>
      <x:c r="E8" s="75" t="str">
        <x:v>AAAI</x:v>
      </x:c>
      <x:c r="F8" s="75" t="str">
        <x:v>Conference</x:v>
      </x:c>
      <x:c r="G8" s="75" t="str">
        <x:v>Yes</x:v>
      </x:c>
      <x:c r="H8" s="75" t="str">
        <x:v>MRI/radio imaging</x:v>
      </x:c>
      <x:c r="I8" s="75" t="str">
        <x:v>Scientific imaging</x:v>
      </x:c>
      <x:c r="J8" s="75" t="str">
        <x:v>Linear operator</x:v>
      </x:c>
      <x:c r="K8" s="75" t="str">
        <x:v>Known</x:v>
      </x:c>
      <x:c r="L8" s="75" t="str">
        <x:v>None central</x:v>
      </x:c>
      <x:c r="M8" s="75" t="str">
        <x:v>Variational generative posterior</x:v>
      </x:c>
      <x:c r="N8" s="75" t="str">
        <x:v>Soft likelihood</x:v>
      </x:c>
      <x:c r="O8" s="75" t="str">
        <x:v>No</x:v>
      </x:c>
      <x:c r="P8" s="75" t="str">
        <x:v>Yes</x:v>
      </x:c>
      <x:c r="Q8" s="75" t="str">
        <x:v>No</x:v>
      </x:c>
      <x:c r="R8" s="75" t="str">
        <x:v>Partial</x:v>
      </x:c>
      <x:c r="S8" s="75" t="str">
        <x:v>No</x:v>
      </x:c>
      <x:c r="T8" s="75" t="str">
        <x:v>Yes</x:v>
      </x:c>
      <x:c r="U8" s="75" t="str">
        <x:v>No</x:v>
      </x:c>
      <x:c r="V8" s="75" t="str">
        <x:v>No</x:v>
      </x:c>
      <x:c r="W8" s="75" t="str">
        <x:v>No</x:v>
      </x:c>
      <x:c r="X8" s="75" t="str">
        <x:v>No</x:v>
      </x:c>
      <x:c r="Y8" s="75" t="str">
        <x:v>Yes</x:v>
      </x:c>
      <x:c r="Z8" s="75" t="str">
        <x:v>AI full-text eligibility assessed; selected features verified</x:v>
      </x:c>
      <x:c r="AA8" s="75" t="str">
        <x:v>Pending formal eligibility</x:v>
      </x:c>
      <x:c r="AB8" s="75" t="str">
        <x:v>No</x:v>
      </x:c>
      <x:c r="AC8" s="75" t="str">
        <x:v>Multimodal posterior characterisation</x:v>
      </x:c>
      <x:c r="AD8" s="75" t="str">
        <x:v>Image posterior only; operator mismatch not jointly represented</x:v>
      </x:c>
      <x:c r="AE8" s="75" t="str">
        <x:v>https://ojs.aaai.org/index.php/AAAI/article/view/16366</x:v>
      </x:c>
      <x:c r="AF8" s="75" t="str">
        <x:v>UQ foundation | AI pilot 2026-09-16; advance to full text. Image posterior uncertainty and multimodal solutions. Human adjudication and full-text coding pending. Evidence: https://ojs.aaai.org/index.php/AAAI/article/view/16366 | AI full-text 2026-09-16: include; human pending. Verified fields: O, P, Q, R, T. Evidence/version/read extent: screening/full_text_03.json (P007). Unlisted feature codes remain provisional.</x:v>
      </x:c>
    </x:row>
    <x:row r="9" ht="176" customHeight="1">
      <x:c r="A9" s="85" t="str">
        <x:v>P008</x:v>
      </x:c>
      <x:c r="B9" s="86" t="n">
        <x:v>2021</x:v>
      </x:c>
      <x:c r="C9" s="75" t="str">
        <x:v>Bhadra et al.</x:v>
      </x:c>
      <x:c r="D9" s="75" t="str">
        <x:v>On Hallucinations in Tomographic Image Reconstruction</x:v>
      </x:c>
      <x:c r="E9" s="75" t="str">
        <x:v>IEEE TMI</x:v>
      </x:c>
      <x:c r="F9" s="75" t="str">
        <x:v>Journal</x:v>
      </x:c>
      <x:c r="G9" s="75" t="str">
        <x:v>Yes</x:v>
      </x:c>
      <x:c r="H9" s="75" t="str">
        <x:v>Tomography</x:v>
      </x:c>
      <x:c r="I9" s="75" t="str">
        <x:v>Medical imaging</x:v>
      </x:c>
      <x:c r="J9" s="75" t="str">
        <x:v>Tomographic operator</x:v>
      </x:c>
      <x:c r="K9" s="75" t="str">
        <x:v>Known</x:v>
      </x:c>
      <x:c r="L9" s="75" t="str">
        <x:v>Prior/data shift</x:v>
      </x:c>
      <x:c r="M9" s="75" t="str">
        <x:v>Hallucination analysis</x:v>
      </x:c>
      <x:c r="N9" s="75" t="str">
        <x:v>Range/null decomposition</x:v>
      </x:c>
      <x:c r="O9" s="75" t="str">
        <x:v>No</x:v>
      </x:c>
      <x:c r="P9" s="75" t="str">
        <x:v>No</x:v>
      </x:c>
      <x:c r="Q9" s="75" t="str">
        <x:v>No</x:v>
      </x:c>
      <x:c r="R9" s="75" t="str">
        <x:v>No</x:v>
      </x:c>
      <x:c r="S9" s="75" t="str">
        <x:v>Yes</x:v>
      </x:c>
      <x:c r="T9" s="75" t="str">
        <x:v>No</x:v>
      </x:c>
      <x:c r="U9" s="75" t="str">
        <x:v>Yes</x:v>
      </x:c>
      <x:c r="V9" s="75" t="str">
        <x:v>No</x:v>
      </x:c>
      <x:c r="W9" s="75" t="str">
        <x:v>Yes</x:v>
      </x:c>
      <x:c r="X9" s="75" t="str">
        <x:v>No</x:v>
      </x:c>
      <x:c r="Y9" s="75" t="str">
        <x:v>Yes</x:v>
      </x:c>
      <x:c r="Z9" s="75" t="str">
        <x:v>AI full-text eligibility assessed; selected features verified</x:v>
      </x:c>
      <x:c r="AA9" s="75" t="str">
        <x:v>Pending formal eligibility</x:v>
      </x:c>
      <x:c r="AB9" s="75" t="str">
        <x:v>Yes</x:v>
      </x:c>
      <x:c r="AC9" s="75" t="str">
        <x:v>Introduces measurement/null hallucination maps</x:v>
      </x:c>
      <x:c r="AD9" s="75" t="str">
        <x:v>Diagnostic framework, not compound mismatch-aware reconstruction</x:v>
      </x:c>
      <x:c r="AE9" s="75" t="str">
        <x:v>https://doi.org/10.1109/TMI.2021.3077857</x:v>
      </x:c>
      <x:c r="AF9" s="75" t="str">
        <x:v>Faithfulness foundation | AI pilot 2026-09-16; advance to full text. Hallucination and measurement/null-space analysis. Human adjudication and full-text coding pending. Evidence: https://arxiv.org/abs/2012.00646 | AI full-text 2026-09-16: include; human pending. Verified fields: O, P, Q, R, S, T, U, W, X. Evidence/version/read extent: screening/full_text_04.json (P008). Unlisted feature codes remain provisional.</x:v>
      </x:c>
    </x:row>
    <x:row r="10">
      <x:c r="A10" s="7" t="str">
        <x:v>P009</x:v>
      </x:c>
      <x:c r="B10" s="8" t="n">
        <x:v>2021</x:v>
      </x:c>
      <x:c r="C10" s="9" t="str">
        <x:v>Zhang et al.</x:v>
      </x:c>
      <x:c r="D10" s="9" t="str">
        <x:v>Designing a Practical Degradation Model for Deep Blind Image Super-Resolution</x:v>
      </x:c>
      <x:c r="E10" s="9" t="str">
        <x:v>ICCV</x:v>
      </x:c>
      <x:c r="F10" s="9" t="str">
        <x:v>Conference</x:v>
      </x:c>
      <x:c r="G10" s="9" t="str">
        <x:v>Yes</x:v>
      </x:c>
      <x:c r="H10" s="9" t="str">
        <x:v>Super-resolution</x:v>
      </x:c>
      <x:c r="I10" s="9" t="str">
        <x:v>Natural images</x:v>
      </x:c>
      <x:c r="J10" s="9" t="str">
        <x:v>Synthetic degradation chain</x:v>
      </x:c>
      <x:c r="K10" s="9" t="str">
        <x:v>Unknown</x:v>
      </x:c>
      <x:c r="L10" s="9" t="str">
        <x:v>Composite shuffled degradation</x:v>
      </x:c>
      <x:c r="M10" s="9" t="str">
        <x:v>GAN/CNN restoration</x:v>
      </x:c>
      <x:c r="N10" s="9" t="str">
        <x:v>Implicit</x:v>
      </x:c>
      <x:c r="O10" s="9" t="str">
        <x:v>No</x:v>
      </x:c>
      <x:c r="P10" s="9" t="str">
        <x:v>No</x:v>
      </x:c>
      <x:c r="Q10" s="9" t="str">
        <x:v>No</x:v>
      </x:c>
      <x:c r="R10" s="9" t="str">
        <x:v>No</x:v>
      </x:c>
      <x:c r="S10" s="9" t="str">
        <x:v>Yes</x:v>
      </x:c>
      <x:c r="T10" s="9" t="str">
        <x:v>Yes</x:v>
      </x:c>
      <x:c r="U10" s="9" t="str">
        <x:v>Yes</x:v>
      </x:c>
      <x:c r="V10" s="9" t="str">
        <x:v>No</x:v>
      </x:c>
      <x:c r="W10" s="9" t="str">
        <x:v>No</x:v>
      </x:c>
      <x:c r="X10" s="9" t="str">
        <x:v>No</x:v>
      </x:c>
      <x:c r="Y10" s="9" t="str">
        <x:v>Yes</x:v>
      </x:c>
      <x:c r="Z10" s="9" t="str">
        <x:v>Abstract inspected; full-text pending</x:v>
      </x:c>
      <x:c r="AA10" s="9" t="str">
        <x:v>Pending formal eligibility</x:v>
      </x:c>
      <x:c r="AB10" s="9" t="str">
        <x:v>No</x:v>
      </x:c>
      <x:c r="AC10" s="9" t="str">
        <x:v>Practical randomized degradation pipeline</x:v>
      </x:c>
      <x:c r="AD10" s="9" t="str">
        <x:v>No operator recovery, calibration, measurement support or abstention</x:v>
      </x:c>
      <x:c r="AE10" s="9" t="str">
        <x:v>https://openaccess.thecvf.com/content/ICCV2021/html/Zhang_Designing_a_Practical_Degradation_Model_for_Deep_Blind_Image_Super-Resolution_ICCV_2021_paper.html</x:v>
      </x:c>
      <x:c r="AF10" s="9" t="str">
        <x:v>Degradation simulator baseline | AI pilot 2026-09-16; advance to full text. Blind restoration with compound degradation. Human adjudication and full-text coding pending. Evidence: https://arxiv.org/abs/2103.14006</x:v>
      </x:c>
    </x:row>
    <x:row r="11" ht="176" customHeight="1">
      <x:c r="A11" s="85" t="str">
        <x:v>P010</x:v>
      </x:c>
      <x:c r="B11" s="86" t="n">
        <x:v>2021</x:v>
      </x:c>
      <x:c r="C11" s="75" t="str">
        <x:v>Wang et al.</x:v>
      </x:c>
      <x:c r="D11" s="75" t="str">
        <x:v>Real-ESRGAN: Training Real-World Blind Super-Resolution With Pure Synthetic Data</x:v>
      </x:c>
      <x:c r="E11" s="75" t="str">
        <x:v>ICCV Workshops</x:v>
      </x:c>
      <x:c r="F11" s="75" t="str">
        <x:v>Conference</x:v>
      </x:c>
      <x:c r="G11" s="75" t="str">
        <x:v>Yes</x:v>
      </x:c>
      <x:c r="H11" s="75" t="str">
        <x:v>Super-resolution</x:v>
      </x:c>
      <x:c r="I11" s="75" t="str">
        <x:v>Natural images</x:v>
      </x:c>
      <x:c r="J11" s="75" t="str">
        <x:v>High-order synthetic degradation</x:v>
      </x:c>
      <x:c r="K11" s="75" t="str">
        <x:v>Unknown</x:v>
      </x:c>
      <x:c r="L11" s="75" t="str">
        <x:v>Composite/high-order degradation</x:v>
      </x:c>
      <x:c r="M11" s="75" t="str">
        <x:v>GAN restoration</x:v>
      </x:c>
      <x:c r="N11" s="75" t="str">
        <x:v>Implicit</x:v>
      </x:c>
      <x:c r="O11" s="75" t="str">
        <x:v>No</x:v>
      </x:c>
      <x:c r="P11" s="75" t="str">
        <x:v>No</x:v>
      </x:c>
      <x:c r="Q11" s="75" t="str">
        <x:v>No</x:v>
      </x:c>
      <x:c r="R11" s="75" t="str">
        <x:v>No</x:v>
      </x:c>
      <x:c r="S11" s="75" t="str">
        <x:v>Partial</x:v>
      </x:c>
      <x:c r="T11" s="75" t="str">
        <x:v>Yes</x:v>
      </x:c>
      <x:c r="U11" s="75" t="str">
        <x:v>Yes</x:v>
      </x:c>
      <x:c r="V11" s="75" t="str">
        <x:v>No</x:v>
      </x:c>
      <x:c r="W11" s="75" t="str">
        <x:v>Partial</x:v>
      </x:c>
      <x:c r="X11" s="75" t="str">
        <x:v>No</x:v>
      </x:c>
      <x:c r="Y11" s="75" t="str">
        <x:v>Yes</x:v>
      </x:c>
      <x:c r="Z11" s="75" t="str">
        <x:v>AI full-text eligibility assessed; selected features verified</x:v>
      </x:c>
      <x:c r="AA11" s="75" t="str">
        <x:v>Pending formal eligibility</x:v>
      </x:c>
      <x:c r="AB11" s="75" t="str">
        <x:v>No</x:v>
      </x:c>
      <x:c r="AC11" s="75" t="str">
        <x:v>High-order synthetic degradation for real-world SR</x:v>
      </x:c>
      <x:c r="AD11" s="75" t="str">
        <x:v>Perceptual restoration lacks calibrated fidelity controls</x:v>
      </x:c>
      <x:c r="AE11" s="75" t="str">
        <x:v>https://openaccess.thecvf.com/content/ICCV2021W/AIM/html/Wang_Real-ESRGAN_Training_Real-World_Blind_Super-Resolution_With_Pure_Synthetic_Data_ICCVW_2021_paper.html</x:v>
      </x:c>
      <x:c r="AF11" s="75" t="str">
        <x:v>Generative restoration baseline | AI pilot 2026-09-16; advance to full text. Blind super-resolution with high-order degradation. Human adjudication and full-text coding pending. Evidence: https://arxiv.org/abs/2107.10833 | AI full-text 2026-09-16: include; human pending. Verified fields: O, P, Q, R, S, T, U, W, X. Evidence/version/read extent: screening/full_text_03.json (P010). Unlisted feature codes remain provisional.</x:v>
      </x:c>
    </x:row>
    <x:row r="12" ht="176" customHeight="1">
      <x:c r="A12" s="85" t="str">
        <x:v>P011</x:v>
      </x:c>
      <x:c r="B12" s="86" t="n">
        <x:v>2022</x:v>
      </x:c>
      <x:c r="C12" s="75" t="str">
        <x:v>Angelopoulos et al.</x:v>
      </x:c>
      <x:c r="D12" s="75" t="str">
        <x:v>Image-to-Image Regression with Distribution-Free Uncertainty Quantification and Applications in Imaging</x:v>
      </x:c>
      <x:c r="E12" s="75" t="str">
        <x:v>ICML</x:v>
      </x:c>
      <x:c r="F12" s="75" t="str">
        <x:v>Conference</x:v>
      </x:c>
      <x:c r="G12" s="75" t="str">
        <x:v>Yes</x:v>
      </x:c>
      <x:c r="H12" s="75" t="str">
        <x:v>MRI/microscopy/SR</x:v>
      </x:c>
      <x:c r="I12" s="75" t="str">
        <x:v>Scientific imaging</x:v>
      </x:c>
      <x:c r="J12" s="75" t="str">
        <x:v>Task-dependent</x:v>
      </x:c>
      <x:c r="K12" s="75" t="str">
        <x:v>Known</x:v>
      </x:c>
      <x:c r="L12" s="75" t="str">
        <x:v>Model error</x:v>
      </x:c>
      <x:c r="M12" s="75" t="str">
        <x:v>Conformal UQ</x:v>
      </x:c>
      <x:c r="N12" s="75" t="str">
        <x:v>None</x:v>
      </x:c>
      <x:c r="O12" s="75" t="str">
        <x:v>No</x:v>
      </x:c>
      <x:c r="P12" s="75" t="str">
        <x:v>Yes</x:v>
      </x:c>
      <x:c r="Q12" s="75" t="str">
        <x:v>No</x:v>
      </x:c>
      <x:c r="R12" s="75" t="str">
        <x:v>Yes</x:v>
      </x:c>
      <x:c r="S12" s="75" t="str">
        <x:v>Partial</x:v>
      </x:c>
      <x:c r="T12" s="75" t="str">
        <x:v>Yes</x:v>
      </x:c>
      <x:c r="U12" s="75" t="str">
        <x:v>No</x:v>
      </x:c>
      <x:c r="V12" s="75" t="str">
        <x:v>No</x:v>
      </x:c>
      <x:c r="W12" s="75" t="str">
        <x:v>Partial</x:v>
      </x:c>
      <x:c r="X12" s="75" t="str">
        <x:v>No</x:v>
      </x:c>
      <x:c r="Y12" s="75" t="str">
        <x:v>Yes</x:v>
      </x:c>
      <x:c r="Z12" s="75" t="str">
        <x:v>AI full-text eligibility assessed; selected features verified</x:v>
      </x:c>
      <x:c r="AA12" s="75" t="str">
        <x:v>Pending formal eligibility</x:v>
      </x:c>
      <x:c r="AB12" s="75" t="str">
        <x:v>Yes</x:v>
      </x:c>
      <x:c r="AC12" s="75" t="str">
        <x:v>Distribution-free pixel intervals with marginal coverage</x:v>
      </x:c>
      <x:c r="AD12" s="75" t="str">
        <x:v>Does not infer unknown operators; OOD validity needs careful design</x:v>
      </x:c>
      <x:c r="AE12" s="75" t="str">
        <x:v>https://proceedings.mlr.press/v162/angelopoulos22a.html</x:v>
      </x:c>
      <x:c r="AF12" s="75" t="str">
        <x:v>Calibration foundation | AI pilot 2026-09-16; advance to full text. Calibrated image prediction intervals. Human adjudication and full-text coding pending. Evidence: https://proceedings.mlr.press/v162/angelopoulos22a.html | AI full-text 2026-09-16: include; human pending. Verified fields: P, Q, R, T, W, X. Evidence/version/read extent: screening/full_text_03.json (P011). Unlisted feature codes remain provisional.</x:v>
      </x:c>
    </x:row>
    <x:row r="13" ht="176" customHeight="1">
      <x:c r="A13" s="85" t="str">
        <x:v>P012</x:v>
      </x:c>
      <x:c r="B13" s="86" t="n">
        <x:v>2022</x:v>
      </x:c>
      <x:c r="C13" s="75" t="str">
        <x:v>Kawar et al.</x:v>
      </x:c>
      <x:c r="D13" s="75" t="str">
        <x:v>Denoising Diffusion Restoration Models</x:v>
      </x:c>
      <x:c r="E13" s="75" t="str">
        <x:v>NeurIPS</x:v>
      </x:c>
      <x:c r="F13" s="75" t="str">
        <x:v>Conference</x:v>
      </x:c>
      <x:c r="G13" s="75" t="str">
        <x:v>Yes</x:v>
      </x:c>
      <x:c r="H13" s="75" t="str">
        <x:v>Multiple inverse tasks</x:v>
      </x:c>
      <x:c r="I13" s="75" t="str">
        <x:v>Natural images</x:v>
      </x:c>
      <x:c r="J13" s="75" t="str">
        <x:v>Linear operator</x:v>
      </x:c>
      <x:c r="K13" s="75" t="str">
        <x:v>Known</x:v>
      </x:c>
      <x:c r="L13" s="75" t="str">
        <x:v>None central</x:v>
      </x:c>
      <x:c r="M13" s="75" t="str">
        <x:v>Diffusion posterior restoration</x:v>
      </x:c>
      <x:c r="N13" s="75" t="str">
        <x:v>Hard/spectral</x:v>
      </x:c>
      <x:c r="O13" s="75" t="str">
        <x:v>No</x:v>
      </x:c>
      <x:c r="P13" s="75" t="str">
        <x:v>Yes</x:v>
      </x:c>
      <x:c r="Q13" s="75" t="str">
        <x:v>No</x:v>
      </x:c>
      <x:c r="R13" s="75" t="str">
        <x:v>No</x:v>
      </x:c>
      <x:c r="S13" s="75" t="str">
        <x:v>Partial</x:v>
      </x:c>
      <x:c r="T13" s="75" t="str">
        <x:v>No</x:v>
      </x:c>
      <x:c r="U13" s="75" t="str">
        <x:v>Yes</x:v>
      </x:c>
      <x:c r="V13" s="75" t="str">
        <x:v>No</x:v>
      </x:c>
      <x:c r="W13" s="75" t="str">
        <x:v>No</x:v>
      </x:c>
      <x:c r="X13" s="75" t="str">
        <x:v>No</x:v>
      </x:c>
      <x:c r="Y13" s="75" t="str">
        <x:v>Yes</x:v>
      </x:c>
      <x:c r="Z13" s="75" t="str">
        <x:v>AI full-text eligibility assessed; selected features verified</x:v>
      </x:c>
      <x:c r="AA13" s="75" t="str">
        <x:v>Pending formal eligibility</x:v>
      </x:c>
      <x:c r="AB13" s="75" t="str">
        <x:v>No</x:v>
      </x:c>
      <x:c r="AC13" s="75" t="str">
        <x:v>Diffusion restoration for linear inverse problems</x:v>
      </x:c>
      <x:c r="AD13" s="75" t="str">
        <x:v>Sensitive to incorrect operator; no operator UQ</x:v>
      </x:c>
      <x:c r="AE13" s="75" t="str">
        <x:v>https://proceedings.neurips.cc/paper_files/paper/2022/hash/95504595b6169131b6ed6cd72eb05616-Abstract-Conference.html</x:v>
      </x:c>
      <x:c r="AF13" s="75" t="str">
        <x:v>Diffusion baseline | AI pilot 2026-09-16; advance to full text. Posterior reconstruction and transfer across image distributions. Human adjudication and full-text coding pending. Evidence: https://proceedings.neurips.cc/paper_files/paper/2022/hash/95504595b6169131b6ed6cd72eb05616-Abstract-Conference.html | AI full-text 2026-09-16: include; human pending. Verified fields: O, P, Q, R, S, T, U, X. Evidence/version/read extent: screening/full_text_05.json (P012). Unlisted feature codes remain provisional.</x:v>
      </x:c>
    </x:row>
    <x:row r="14" ht="240" customHeight="1">
      <x:c r="A14" s="7" t="str">
        <x:v>P013</x:v>
      </x:c>
      <x:c r="B14" s="8" t="n">
        <x:v>2022</x:v>
      </x:c>
      <x:c r="C14" s="9" t="str">
        <x:v>Li et al.</x:v>
      </x:c>
      <x:c r="D14" s="9" t="str">
        <x:v>All-in-One Image Restoration for Unknown Corruption</x:v>
      </x:c>
      <x:c r="E14" s="9" t="str">
        <x:v>CVPR</x:v>
      </x:c>
      <x:c r="F14" s="9" t="str">
        <x:v>Conference</x:v>
      </x:c>
      <x:c r="G14" s="9" t="str">
        <x:v>Yes</x:v>
      </x:c>
      <x:c r="H14" s="9" t="str">
        <x:v>Multi-task restoration</x:v>
      </x:c>
      <x:c r="I14" s="9" t="str">
        <x:v>Natural images</x:v>
      </x:c>
      <x:c r="J14" s="9" t="str">
        <x:v>Implicit corruption process</x:v>
      </x:c>
      <x:c r="K14" s="9" t="str">
        <x:v>Unknown</x:v>
      </x:c>
      <x:c r="L14" s="9" t="str">
        <x:v>Multiple corruption types/levels</x:v>
      </x:c>
      <x:c r="M14" s="9" t="str">
        <x:v>Contrastive degradation encoder</x:v>
      </x:c>
      <x:c r="N14" s="9" t="str">
        <x:v>Implicit</x:v>
      </x:c>
      <x:c r="O14" s="9" t="str">
        <x:v>No</x:v>
      </x:c>
      <x:c r="P14" s="9" t="str">
        <x:v>No</x:v>
      </x:c>
      <x:c r="Q14" s="9" t="str">
        <x:v>No</x:v>
      </x:c>
      <x:c r="R14" s="9" t="str">
        <x:v>No</x:v>
      </x:c>
      <x:c r="S14" s="9" t="str">
        <x:v>Yes</x:v>
      </x:c>
      <x:c r="T14" s="9" t="str">
        <x:v>Partial</x:v>
      </x:c>
      <x:c r="U14" s="9" t="str">
        <x:v>Yes</x:v>
      </x:c>
      <x:c r="V14" s="9" t="str">
        <x:v>No</x:v>
      </x:c>
      <x:c r="W14" s="9" t="str">
        <x:v>No</x:v>
      </x:c>
      <x:c r="X14" s="9" t="str">
        <x:v>No</x:v>
      </x:c>
      <x:c r="Y14" s="9" t="str">
        <x:v>Yes</x:v>
      </x:c>
      <x:c r="Z14" s="9" t="str">
        <x:v>Title/project checked; abstract pending</x:v>
      </x:c>
      <x:c r="AA14" s="9" t="str">
        <x:v>Pending formal eligibility</x:v>
      </x:c>
      <x:c r="AB14" s="9" t="str">
        <x:v>Yes</x:v>
      </x:c>
      <x:c r="AC14" s="9" t="str">
        <x:v>One model handles multiple unknown corruptions</x:v>
      </x:c>
      <x:c r="AD14" s="9" t="str">
        <x:v>No explicit operator estimation, calibrated UQ or support test</x:v>
      </x:c>
      <x:c r="AE14" s="9" t="str">
        <x:v>https://openaccess.thecvf.com/content/CVPR2022/html/Li_All-in-One_Image_Restoration_for_Unknown_Corruption_CVPR_2022_paper.html</x:v>
      </x:c>
      <x:c r="AF14" s="75" t="str">
        <x:v>Nearest all-in-one baseline | AI pilot 2026-09-16; advance to full text. Unknown corruption and all-in-one restoration. Human adjudication and full-text coding pending. Evidence: https://github.com/XLearning-SCU/2022-CVPR-AirNet | Batch 03 revisit 2026-09-16: Unknown-corruption restoration remains an explicit scope signal. Preserve incomplete evidence and do not equate mixed task training with compound corruption. Source: https://github.com/XLearning-SCU/2022-CVPR-AirNet</x:v>
      </x:c>
    </x:row>
    <x:row r="15" ht="176" customHeight="1">
      <x:c r="A15" s="85" t="str">
        <x:v>P014</x:v>
      </x:c>
      <x:c r="B15" s="86" t="n">
        <x:v>2022</x:v>
      </x:c>
      <x:c r="C15" s="75" t="str">
        <x:v>Horwitz &amp; Hoshen</x:v>
      </x:c>
      <x:c r="D15" s="75" t="str">
        <x:v>Conffusion: Confidence Intervals for Diffusion Models</x:v>
      </x:c>
      <x:c r="E15" s="75" t="str">
        <x:v>arXiv</x:v>
      </x:c>
      <x:c r="F15" s="75" t="str">
        <x:v>Preprint</x:v>
      </x:c>
      <x:c r="G15" s="75" t="str">
        <x:v>No</x:v>
      </x:c>
      <x:c r="H15" s="75" t="str">
        <x:v>Image-to-image generation</x:v>
      </x:c>
      <x:c r="I15" s="75" t="str">
        <x:v>Natural images</x:v>
      </x:c>
      <x:c r="J15" s="75" t="str">
        <x:v>Task-dependent</x:v>
      </x:c>
      <x:c r="K15" s="75" t="str">
        <x:v>Known</x:v>
      </x:c>
      <x:c r="L15" s="75" t="str">
        <x:v>Model uncertainty</x:v>
      </x:c>
      <x:c r="M15" s="75" t="str">
        <x:v>Diffusion confidence intervals</x:v>
      </x:c>
      <x:c r="N15" s="75" t="str">
        <x:v>None</x:v>
      </x:c>
      <x:c r="O15" s="75" t="str">
        <x:v>No</x:v>
      </x:c>
      <x:c r="P15" s="75" t="str">
        <x:v>Yes</x:v>
      </x:c>
      <x:c r="Q15" s="75" t="str">
        <x:v>No</x:v>
      </x:c>
      <x:c r="R15" s="75" t="str">
        <x:v>Yes</x:v>
      </x:c>
      <x:c r="S15" s="75" t="str">
        <x:v>No</x:v>
      </x:c>
      <x:c r="T15" s="75" t="str">
        <x:v>No</x:v>
      </x:c>
      <x:c r="U15" s="75" t="str">
        <x:v>No</x:v>
      </x:c>
      <x:c r="V15" s="75" t="str">
        <x:v>No</x:v>
      </x:c>
      <x:c r="W15" s="75" t="str">
        <x:v>Partial</x:v>
      </x:c>
      <x:c r="X15" s="75" t="str">
        <x:v>No</x:v>
      </x:c>
      <x:c r="Y15" s="75" t="str">
        <x:v>Unknown</x:v>
      </x:c>
      <x:c r="Z15" s="75" t="str">
        <x:v>AI full-text eligibility assessed; selected features verified</x:v>
      </x:c>
      <x:c r="AA15" s="75" t="str">
        <x:v>Pending formal eligibility</x:v>
      </x:c>
      <x:c r="AB15" s="75" t="str">
        <x:v>No</x:v>
      </x:c>
      <x:c r="AC15" s="75" t="str">
        <x:v>Fast confidence intervals for diffusion outputs</x:v>
      </x:c>
      <x:c r="AD15" s="75" t="str">
        <x:v>Not physics/operator-aware; peer-reviewed status to confirm</x:v>
      </x:c>
      <x:c r="AE15" s="75" t="str">
        <x:v>https://arxiv.org/abs/2211.09795</x:v>
      </x:c>
      <x:c r="AF15" s="75" t="str">
        <x:v>UQ method candidate | AI pilot 2026-09-16; advance to full text. Diffusion-based confidence intervals. Human adjudication and full-text coding pending. Evidence: https://arxiv.org/abs/2211.09795 | AI full-text 2026-09-16: include; human pending. Verified fields: O, P, Q, R, S, T, X. Evidence/version/read extent: screening/full_text_04.json (P014). Unlisted feature codes remain provisional.</x:v>
      </x:c>
    </x:row>
    <x:row r="16" ht="176" customHeight="1">
      <x:c r="A16" s="85" t="str">
        <x:v>P015</x:v>
      </x:c>
      <x:c r="B16" s="86" t="n">
        <x:v>2023</x:v>
      </x:c>
      <x:c r="C16" s="75" t="str">
        <x:v>Chung et al.</x:v>
      </x:c>
      <x:c r="D16" s="75" t="str">
        <x:v>Diffusion Posterior Sampling for General Noisy Inverse Problems</x:v>
      </x:c>
      <x:c r="E16" s="75" t="str">
        <x:v>ICLR</x:v>
      </x:c>
      <x:c r="F16" s="75" t="str">
        <x:v>Conference</x:v>
      </x:c>
      <x:c r="G16" s="75" t="str">
        <x:v>Yes</x:v>
      </x:c>
      <x:c r="H16" s="75" t="str">
        <x:v>Multiple inverse tasks</x:v>
      </x:c>
      <x:c r="I16" s="75" t="str">
        <x:v>Natural images</x:v>
      </x:c>
      <x:c r="J16" s="75" t="str">
        <x:v>Linear/nonlinear operator</x:v>
      </x:c>
      <x:c r="K16" s="75" t="str">
        <x:v>Known</x:v>
      </x:c>
      <x:c r="L16" s="75" t="str">
        <x:v>Noise/model approximation</x:v>
      </x:c>
      <x:c r="M16" s="75" t="str">
        <x:v>Diffusion posterior sampling</x:v>
      </x:c>
      <x:c r="N16" s="75" t="str">
        <x:v>Soft likelihood</x:v>
      </x:c>
      <x:c r="O16" s="75" t="str">
        <x:v>No</x:v>
      </x:c>
      <x:c r="P16" s="75" t="str">
        <x:v>Yes</x:v>
      </x:c>
      <x:c r="Q16" s="75" t="str">
        <x:v>No</x:v>
      </x:c>
      <x:c r="R16" s="75" t="str">
        <x:v>No</x:v>
      </x:c>
      <x:c r="S16" s="75" t="str">
        <x:v>Partial</x:v>
      </x:c>
      <x:c r="T16" s="75" t="str">
        <x:v>No</x:v>
      </x:c>
      <x:c r="U16" s="75" t="str">
        <x:v>Yes</x:v>
      </x:c>
      <x:c r="V16" s="75" t="str">
        <x:v>No</x:v>
      </x:c>
      <x:c r="W16" s="75" t="str">
        <x:v>No</x:v>
      </x:c>
      <x:c r="X16" s="75" t="str">
        <x:v>No</x:v>
      </x:c>
      <x:c r="Y16" s="75" t="str">
        <x:v>Yes</x:v>
      </x:c>
      <x:c r="Z16" s="75" t="str">
        <x:v>AI full-text eligibility assessed; selected features verified</x:v>
      </x:c>
      <x:c r="AA16" s="75" t="str">
        <x:v>Pending formal eligibility</x:v>
      </x:c>
      <x:c r="AB16" s="75" t="str">
        <x:v>No</x:v>
      </x:c>
      <x:c r="AC16" s="75" t="str">
        <x:v>General posterior sampling for noisy inverse problems</x:v>
      </x:c>
      <x:c r="AD16" s="75" t="str">
        <x:v>Samples are not automatically calibrated; mismatch not solved</x:v>
      </x:c>
      <x:c r="AE16" s="75" t="str">
        <x:v>https://openreview.net/forum?id=OnD9zGAGT0k</x:v>
      </x:c>
      <x:c r="AF16" s="75" t="str">
        <x:v>Diffusion baseline | AI pilot 2026-09-16; advance to full text. Approximate posterior reconstruction under noise. Human adjudication and full-text coding pending. Evidence: https://arxiv.org/abs/2209.14687 | AI full-text 2026-09-16: include; human pending. Verified fields: O, P, Q, R, T, U, X. Evidence/version/read extent: screening/full_text_04.json (P015). Unlisted feature codes remain provisional.</x:v>
      </x:c>
    </x:row>
    <x:row r="17" ht="240" customHeight="1">
      <x:c r="A17" s="7" t="str">
        <x:v>P016</x:v>
      </x:c>
      <x:c r="B17" s="8" t="n">
        <x:v>2023</x:v>
      </x:c>
      <x:c r="C17" s="9" t="str">
        <x:v>Song et al.</x:v>
      </x:c>
      <x:c r="D17" s="9" t="str">
        <x:v>Pseudoinverse-Guided Diffusion Models for Inverse Problems</x:v>
      </x:c>
      <x:c r="E17" s="9" t="str">
        <x:v>ICLR</x:v>
      </x:c>
      <x:c r="F17" s="9" t="str">
        <x:v>Conference</x:v>
      </x:c>
      <x:c r="G17" s="9" t="str">
        <x:v>Yes</x:v>
      </x:c>
      <x:c r="H17" s="9" t="str">
        <x:v>Multiple inverse tasks</x:v>
      </x:c>
      <x:c r="I17" s="9" t="str">
        <x:v>Natural images</x:v>
      </x:c>
      <x:c r="J17" s="9" t="str">
        <x:v>Linear operator</x:v>
      </x:c>
      <x:c r="K17" s="9" t="str">
        <x:v>Known</x:v>
      </x:c>
      <x:c r="L17" s="9" t="str">
        <x:v>None central</x:v>
      </x:c>
      <x:c r="M17" s="9" t="str">
        <x:v>Diffusion/pseudoinverse guidance</x:v>
      </x:c>
      <x:c r="N17" s="9" t="str">
        <x:v>Hard/iterative</x:v>
      </x:c>
      <x:c r="O17" s="9" t="str">
        <x:v>No</x:v>
      </x:c>
      <x:c r="P17" s="9" t="str">
        <x:v>Partial</x:v>
      </x:c>
      <x:c r="Q17" s="9" t="str">
        <x:v>No</x:v>
      </x:c>
      <x:c r="R17" s="9" t="str">
        <x:v>No</x:v>
      </x:c>
      <x:c r="S17" s="9" t="str">
        <x:v>Partial</x:v>
      </x:c>
      <x:c r="T17" s="9" t="str">
        <x:v>Partial</x:v>
      </x:c>
      <x:c r="U17" s="9" t="str">
        <x:v>No</x:v>
      </x:c>
      <x:c r="V17" s="9" t="str">
        <x:v>No</x:v>
      </x:c>
      <x:c r="W17" s="9" t="str">
        <x:v>No</x:v>
      </x:c>
      <x:c r="X17" s="9" t="str">
        <x:v>No</x:v>
      </x:c>
      <x:c r="Y17" s="9" t="str">
        <x:v>Yes</x:v>
      </x:c>
      <x:c r="Z17" s="9" t="str">
        <x:v>Title/project checked; abstract pending</x:v>
      </x:c>
      <x:c r="AA17" s="9" t="str">
        <x:v>Pending formal eligibility</x:v>
      </x:c>
      <x:c r="AB17" s="9" t="str">
        <x:v>No</x:v>
      </x:c>
      <x:c r="AC17" s="9" t="str">
        <x:v>Pseudoinverse guidance improves data consistency</x:v>
      </x:c>
      <x:c r="AD17" s="9" t="str">
        <x:v>Requires operator; no mismatch/UQ guarantee</x:v>
      </x:c>
      <x:c r="AE17" s="9" t="str">
        <x:v>https://openreview.net/forum?id=9_gsMA8MRKQ</x:v>
      </x:c>
      <x:c r="AF17" s="75" t="str">
        <x:v>Data consistency baseline | AI pilot 2026-09-16; unclear. Cannot adjudicate from retrieved evidence. Human adjudication and full-text coding pending. Evidence: https://openreview.net/forum?id=9_gsMA8MRKQ | Batch 02 revisit 2026-09-16: No additional substantive evidence retrieved. Keep the prior unclear recommendation and incomplete-evidence label; missing access is not an exclusion. Source: https://openreview.net/forum?id=9_gsMA8MRKQ | Batch 03 revisit 2026-09-16: The complete abstract/technical evidence is still unavailable in this pass. Retain unclear for retrieval and criterion-3 assessment; access failure is not a rejection. Source: https://openreview.net/forum?id=9_gsMA8MRKQ</x:v>
      </x:c>
    </x:row>
    <x:row r="18">
      <x:c r="A18" s="7" t="str">
        <x:v>P017</x:v>
      </x:c>
      <x:c r="B18" s="8" t="n">
        <x:v>2023</x:v>
      </x:c>
      <x:c r="C18" s="9" t="str">
        <x:v>Wang et al.</x:v>
      </x:c>
      <x:c r="D18" s="9" t="str">
        <x:v>Zero-Shot Image Restoration Using Denoising Diffusion Null-Space Model</x:v>
      </x:c>
      <x:c r="E18" s="9" t="str">
        <x:v>ICLR</x:v>
      </x:c>
      <x:c r="F18" s="9" t="str">
        <x:v>Conference</x:v>
      </x:c>
      <x:c r="G18" s="9" t="str">
        <x:v>Yes</x:v>
      </x:c>
      <x:c r="H18" s="9" t="str">
        <x:v>Multiple inverse tasks</x:v>
      </x:c>
      <x:c r="I18" s="9" t="str">
        <x:v>Natural images</x:v>
      </x:c>
      <x:c r="J18" s="9" t="str">
        <x:v>Linear operator</x:v>
      </x:c>
      <x:c r="K18" s="9" t="str">
        <x:v>Known</x:v>
      </x:c>
      <x:c r="L18" s="9" t="str">
        <x:v>None central</x:v>
      </x:c>
      <x:c r="M18" s="9" t="str">
        <x:v>Range/null diffusion</x:v>
      </x:c>
      <x:c r="N18" s="9" t="str">
        <x:v>Hard/range-null</x:v>
      </x:c>
      <x:c r="O18" s="9" t="str">
        <x:v>No</x:v>
      </x:c>
      <x:c r="P18" s="9" t="str">
        <x:v>Partial</x:v>
      </x:c>
      <x:c r="Q18" s="9" t="str">
        <x:v>No</x:v>
      </x:c>
      <x:c r="R18" s="9" t="str">
        <x:v>No</x:v>
      </x:c>
      <x:c r="S18" s="9" t="str">
        <x:v>Partial</x:v>
      </x:c>
      <x:c r="T18" s="9" t="str">
        <x:v>Partial</x:v>
      </x:c>
      <x:c r="U18" s="9" t="str">
        <x:v>No</x:v>
      </x:c>
      <x:c r="V18" s="9" t="str">
        <x:v>No</x:v>
      </x:c>
      <x:c r="W18" s="9" t="str">
        <x:v>Yes</x:v>
      </x:c>
      <x:c r="X18" s="9" t="str">
        <x:v>No</x:v>
      </x:c>
      <x:c r="Y18" s="9" t="str">
        <x:v>Yes</x:v>
      </x:c>
      <x:c r="Z18" s="9" t="str">
        <x:v>Abstract inspected; full-text pending</x:v>
      </x:c>
      <x:c r="AA18" s="9" t="str">
        <x:v>Pending formal eligibility</x:v>
      </x:c>
      <x:c r="AB18" s="9" t="str">
        <x:v>Yes</x:v>
      </x:c>
      <x:c r="AC18" s="9" t="str">
        <x:v>Range/null-space decomposition for consistent restoration</x:v>
      </x:c>
      <x:c r="AD18" s="9" t="str">
        <x:v>Blind compound mismatch and calibrated support remain open</x:v>
      </x:c>
      <x:c r="AE18" s="9" t="str">
        <x:v>https://openreview.net/forum?id=mRieQgMtNTQ</x:v>
      </x:c>
      <x:c r="AF18" s="9" t="str">
        <x:v>Support-map component | AI pilot 2026-09-16; advance to full text. Range/null-space reconstruction and measurement consistency. Human adjudication and full-text coding pending. Evidence: https://arxiv.org/abs/2212.00490</x:v>
      </x:c>
    </x:row>
    <x:row r="19" ht="176" customHeight="1">
      <x:c r="A19" s="85" t="str">
        <x:v>P018</x:v>
      </x:c>
      <x:c r="B19" s="86" t="n">
        <x:v>2023</x:v>
      </x:c>
      <x:c r="C19" s="75" t="str">
        <x:v>Chung et al.</x:v>
      </x:c>
      <x:c r="D19" s="75" t="str">
        <x:v>Parallel Diffusion Models of Operator and Image for Blind Inverse Problems</x:v>
      </x:c>
      <x:c r="E19" s="75" t="str">
        <x:v>CVPR</x:v>
      </x:c>
      <x:c r="F19" s="75" t="str">
        <x:v>Conference</x:v>
      </x:c>
      <x:c r="G19" s="75" t="str">
        <x:v>Yes</x:v>
      </x:c>
      <x:c r="H19" s="75" t="str">
        <x:v>Deblurring/turbulence</x:v>
      </x:c>
      <x:c r="I19" s="75" t="str">
        <x:v>Natural images</x:v>
      </x:c>
      <x:c r="J19" s="75" t="str">
        <x:v>Known functional form</x:v>
      </x:c>
      <x:c r="K19" s="75" t="str">
        <x:v>Unknown</x:v>
      </x:c>
      <x:c r="L19" s="75" t="str">
        <x:v>Blind operator parameters</x:v>
      </x:c>
      <x:c r="M19" s="75" t="str">
        <x:v>Parallel diffusion priors</x:v>
      </x:c>
      <x:c r="N19" s="75" t="str">
        <x:v>Soft likelihood</x:v>
      </x:c>
      <x:c r="O19" s="75" t="str">
        <x:v>Yes</x:v>
      </x:c>
      <x:c r="P19" s="75" t="str">
        <x:v>Yes</x:v>
      </x:c>
      <x:c r="Q19" s="75" t="str">
        <x:v>Yes</x:v>
      </x:c>
      <x:c r="R19" s="75" t="str">
        <x:v>No</x:v>
      </x:c>
      <x:c r="S19" s="75" t="str">
        <x:v>Yes</x:v>
      </x:c>
      <x:c r="T19" s="75" t="str">
        <x:v>No</x:v>
      </x:c>
      <x:c r="U19" s="75" t="str">
        <x:v>Yes</x:v>
      </x:c>
      <x:c r="V19" s="75" t="str">
        <x:v>No</x:v>
      </x:c>
      <x:c r="W19" s="75" t="str">
        <x:v>No</x:v>
      </x:c>
      <x:c r="X19" s="75" t="str">
        <x:v>No</x:v>
      </x:c>
      <x:c r="Y19" s="75" t="str">
        <x:v>Yes</x:v>
      </x:c>
      <x:c r="Z19" s="75" t="str">
        <x:v>AI full-text eligibility assessed; selected features verified</x:v>
      </x:c>
      <x:c r="AA19" s="75" t="str">
        <x:v>Pending formal eligibility</x:v>
      </x:c>
      <x:c r="AB19" s="75" t="str">
        <x:v>Yes</x:v>
      </x:c>
      <x:c r="AC19" s="75" t="str">
        <x:v>Joint image/operator diffusion</x:v>
      </x:c>
      <x:c r="AD19" s="75" t="str">
        <x:v>No calibrated joint UQ or abstention; operator-prior burden</x:v>
      </x:c>
      <x:c r="AE19" s="75" t="str">
        <x:v>https://openaccess.thecvf.com/content/CVPR2023/html/Chung_Parallel_Diffusion_Models_of_Operator_and_Image_for_Blind_Inverse_Problems_CVPR_2023_paper.html</x:v>
      </x:c>
      <x:c r="AF19" s="75" t="str">
        <x:v>Nearest blind diffusion competitor | AI pilot 2026-09-16; advance to full text. Joint image/operator inference in blind reconstruction. Human adjudication and full-text coding pending. Evidence: https://arxiv.org/abs/2211.10656 | AI full-text 2026-09-16: include; human pending. Verified fields: O, P, Q, R, T, U, X. Evidence/version/read extent: screening/full_text_03.json (P018). Unlisted feature codes remain provisional.</x:v>
      </x:c>
    </x:row>
    <x:row r="20" ht="176" customHeight="1">
      <x:c r="A20" s="85" t="str">
        <x:v>P019</x:v>
      </x:c>
      <x:c r="B20" s="86" t="n">
        <x:v>2023</x:v>
      </x:c>
      <x:c r="C20" s="75" t="str">
        <x:v>Murata et al.</x:v>
      </x:c>
      <x:c r="D20" s="75" t="str">
        <x:v>GibbsDDRM: A Partially Collapsed Gibbs Sampler for Solving Blind Inverse Problems with Denoising Diffusion Restoration</x:v>
      </x:c>
      <x:c r="E20" s="75" t="str">
        <x:v>ICML</x:v>
      </x:c>
      <x:c r="F20" s="75" t="str">
        <x:v>Conference</x:v>
      </x:c>
      <x:c r="G20" s="75" t="str">
        <x:v>Yes</x:v>
      </x:c>
      <x:c r="H20" s="75" t="str">
        <x:v>Blind linear inverse tasks</x:v>
      </x:c>
      <x:c r="I20" s="75" t="str">
        <x:v>Natural images</x:v>
      </x:c>
      <x:c r="J20" s="75" t="str">
        <x:v>Linear operator family</x:v>
      </x:c>
      <x:c r="K20" s="75" t="str">
        <x:v>Unknown</x:v>
      </x:c>
      <x:c r="L20" s="75" t="str">
        <x:v>Blind parameters</x:v>
      </x:c>
      <x:c r="M20" s="75" t="str">
        <x:v>Gibbs diffusion sampler</x:v>
      </x:c>
      <x:c r="N20" s="75" t="str">
        <x:v>Hard/likelihood</x:v>
      </x:c>
      <x:c r="O20" s="75" t="str">
        <x:v>Yes</x:v>
      </x:c>
      <x:c r="P20" s="75" t="str">
        <x:v>Yes</x:v>
      </x:c>
      <x:c r="Q20" s="75" t="str">
        <x:v>Yes</x:v>
      </x:c>
      <x:c r="R20" s="75" t="str">
        <x:v>No</x:v>
      </x:c>
      <x:c r="S20" s="75" t="str">
        <x:v>Yes</x:v>
      </x:c>
      <x:c r="T20" s="75" t="str">
        <x:v>No</x:v>
      </x:c>
      <x:c r="U20" s="75" t="str">
        <x:v>Yes</x:v>
      </x:c>
      <x:c r="V20" s="75" t="str">
        <x:v>No</x:v>
      </x:c>
      <x:c r="W20" s="75" t="str">
        <x:v>No</x:v>
      </x:c>
      <x:c r="X20" s="75" t="str">
        <x:v>No</x:v>
      </x:c>
      <x:c r="Y20" s="75" t="str">
        <x:v>Yes</x:v>
      </x:c>
      <x:c r="Z20" s="75" t="str">
        <x:v>AI full-text eligibility assessed; selected features verified</x:v>
      </x:c>
      <x:c r="AA20" s="75" t="str">
        <x:v>Pending formal eligibility</x:v>
      </x:c>
      <x:c r="AB20" s="75" t="str">
        <x:v>Yes</x:v>
      </x:c>
      <x:c r="AC20" s="75" t="str">
        <x:v>Bayesian blind image/operator sampling</x:v>
      </x:c>
      <x:c r="AD20" s="75" t="str">
        <x:v>Simplified forward families; real compound calibration remains</x:v>
      </x:c>
      <x:c r="AE20" s="75" t="str">
        <x:v>https://proceedings.mlr.press/v202/murata23a.html</x:v>
      </x:c>
      <x:c r="AF20" s="75" t="str">
        <x:v>Nearest joint posterior competitor | AI pilot 2026-09-16; advance to full text. Joint posterior inference for blind inverse problems. Human adjudication and full-text coding pending. Evidence: https://proceedings.mlr.press/v202/murata23a.html | AI full-text 2026-09-16: include; human pending. Verified fields: O, P, Q, R, T, U, X. Evidence/version/read extent: screening/full_text_03.json (P019). Unlisted feature codes remain provisional.</x:v>
      </x:c>
    </x:row>
    <x:row r="21" ht="176" customHeight="1">
      <x:c r="A21" s="85" t="str">
        <x:v>P020</x:v>
      </x:c>
      <x:c r="B21" s="86" t="n">
        <x:v>2023</x:v>
      </x:c>
      <x:c r="C21" s="75" t="str">
        <x:v>Potlapalli et al.</x:v>
      </x:c>
      <x:c r="D21" s="75" t="str">
        <x:v>PromptIR: Prompting for All-in-One Image Restoration</x:v>
      </x:c>
      <x:c r="E21" s="75" t="str">
        <x:v>NeurIPS</x:v>
      </x:c>
      <x:c r="F21" s="75" t="str">
        <x:v>Conference</x:v>
      </x:c>
      <x:c r="G21" s="75" t="str">
        <x:v>Yes</x:v>
      </x:c>
      <x:c r="H21" s="75" t="str">
        <x:v>Multi-task restoration</x:v>
      </x:c>
      <x:c r="I21" s="75" t="str">
        <x:v>Natural images</x:v>
      </x:c>
      <x:c r="J21" s="75" t="str">
        <x:v>Implicit corruption process</x:v>
      </x:c>
      <x:c r="K21" s="75" t="str">
        <x:v>Unknown</x:v>
      </x:c>
      <x:c r="L21" s="75" t="str">
        <x:v>Multiple degradation types/levels</x:v>
      </x:c>
      <x:c r="M21" s="75" t="str">
        <x:v>Prompt-conditioned transformer</x:v>
      </x:c>
      <x:c r="N21" s="75" t="str">
        <x:v>Implicit</x:v>
      </x:c>
      <x:c r="O21" s="75" t="str">
        <x:v>No</x:v>
      </x:c>
      <x:c r="P21" s="75" t="str">
        <x:v>No</x:v>
      </x:c>
      <x:c r="Q21" s="75" t="str">
        <x:v>No</x:v>
      </x:c>
      <x:c r="R21" s="75" t="str">
        <x:v>No</x:v>
      </x:c>
      <x:c r="S21" s="75" t="str">
        <x:v>Yes</x:v>
      </x:c>
      <x:c r="T21" s="75" t="str">
        <x:v>No</x:v>
      </x:c>
      <x:c r="U21" s="75" t="str">
        <x:v>No</x:v>
      </x:c>
      <x:c r="V21" s="75" t="str">
        <x:v>No</x:v>
      </x:c>
      <x:c r="W21" s="75" t="str">
        <x:v>No</x:v>
      </x:c>
      <x:c r="X21" s="75" t="str">
        <x:v>No</x:v>
      </x:c>
      <x:c r="Y21" s="75" t="str">
        <x:v>Yes</x:v>
      </x:c>
      <x:c r="Z21" s="75" t="str">
        <x:v>AI full-text eligibility assessed; selected features verified</x:v>
      </x:c>
      <x:c r="AA21" s="75" t="str">
        <x:v>Pending formal eligibility</x:v>
      </x:c>
      <x:c r="AB21" s="75" t="str">
        <x:v>Yes</x:v>
      </x:c>
      <x:c r="AC21" s="75" t="str">
        <x:v>Prompts dynamically guide blind restoration</x:v>
      </x:c>
      <x:c r="AD21" s="75" t="str">
        <x:v>No physics traceability, calibrated UQ or failure policy</x:v>
      </x:c>
      <x:c r="AE21" s="75" t="str">
        <x:v>https://proceedings.neurips.cc/paper_files/paper/2023/hash/e187897ed7780a579a0d76fd4a35d107-Abstract-Conference.html</x:v>
      </x:c>
      <x:c r="AF21" s="75" t="str">
        <x:v>Nearest all-in-one baseline | AI pilot 2026-09-16; advance to full text. Unknown degradation types and levels. Human adjudication and full-text coding pending. Evidence: https://proceedings.neurips.cc/paper_files/paper/2023/hash/e187897ed7780a579a0d76fd4a35d107-Abstract-Conference.html | AI full-text 2026-09-16: include; human pending. Verified fields: O, P, Q, R, S, T, U, X. Evidence/version/read extent: screening/full_text_05.json (P020). Unlisted feature codes remain provisional.</x:v>
      </x:c>
    </x:row>
    <x:row r="22" ht="112" customHeight="1">
      <x:c r="A22" s="85" t="str">
        <x:v>P021</x:v>
      </x:c>
      <x:c r="B22" s="86" t="n">
        <x:v>2024</x:v>
      </x:c>
      <x:c r="C22" s="75" t="str">
        <x:v>Gupta et al.</x:v>
      </x:c>
      <x:c r="D22" s="75" t="str">
        <x:v>Differentiable Uncalibrated Imaging</x:v>
      </x:c>
      <x:c r="E22" s="75" t="str">
        <x:v>IEEE TCI</x:v>
      </x:c>
      <x:c r="F22" s="75" t="str">
        <x:v>Journal</x:v>
      </x:c>
      <x:c r="G22" s="75" t="str">
        <x:v>Yes</x:v>
      </x:c>
      <x:c r="H22" s="75" t="str">
        <x:v>CT</x:v>
      </x:c>
      <x:c r="I22" s="75" t="str">
        <x:v>Medical imaging</x:v>
      </x:c>
      <x:c r="J22" s="75" t="str">
        <x:v>Measurement coordinates</x:v>
      </x:c>
      <x:c r="K22" s="75" t="str">
        <x:v>Uncalibrated</x:v>
      </x:c>
      <x:c r="L22" s="75" t="str">
        <x:v>Sensor/projection-coordinate uncertainty</x:v>
      </x:c>
      <x:c r="M22" s="75" t="str">
        <x:v>Differentiable joint optimisation</x:v>
      </x:c>
      <x:c r="N22" s="75" t="str">
        <x:v>Hard/differentiable</x:v>
      </x:c>
      <x:c r="O22" s="75" t="str">
        <x:v>Yes</x:v>
      </x:c>
      <x:c r="P22" s="75" t="str">
        <x:v>No</x:v>
      </x:c>
      <x:c r="Q22" s="75" t="str">
        <x:v>Partial</x:v>
      </x:c>
      <x:c r="R22" s="75" t="str">
        <x:v>No</x:v>
      </x:c>
      <x:c r="S22" s="75" t="str">
        <x:v>Yes</x:v>
      </x:c>
      <x:c r="T22" s="75" t="str">
        <x:v>Partial</x:v>
      </x:c>
      <x:c r="U22" s="75" t="str">
        <x:v>No</x:v>
      </x:c>
      <x:c r="V22" s="75" t="str">
        <x:v>No</x:v>
      </x:c>
      <x:c r="W22" s="75" t="str">
        <x:v>No</x:v>
      </x:c>
      <x:c r="X22" s="75" t="str">
        <x:v>No</x:v>
      </x:c>
      <x:c r="Y22" s="75" t="str">
        <x:v>Yes</x:v>
      </x:c>
      <x:c r="Z22" s="75" t="str">
        <x:v>Abstract inspected; full-text pending</x:v>
      </x:c>
      <x:c r="AA22" s="75" t="str">
        <x:v>Pending formal eligibility</x:v>
      </x:c>
      <x:c r="AB22" s="75" t="str">
        <x:v>Yes</x:v>
      </x:c>
      <x:c r="AC22" s="75" t="str">
        <x:v>Joint calibration and reconstruction</x:v>
      </x:c>
      <x:c r="AD22" s="75" t="str">
        <x:v>Selected variables only; no compound video pipeline or calibrated failure</x:v>
      </x:c>
      <x:c r="AE22" s="75" t="str">
        <x:v>https://arxiv.org/abs/2211.10525</x:v>
      </x:c>
      <x:c r="AF22" s="75" t="str">
        <x:v>Closest calibration analogue | AI pilot 2026-09-16: advance to full-text review; human pending. Basis: Author preprint abstract; journal citation not independently rechecked in this batch. Feature codes remain provisional. Which coordinate errors and initialization regimes are evaluated? Physical calibration is not statistical calibration of uncertainty intervals. Evidence: https://arxiv.org/abs/2211.10525</x:v>
      </x:c>
    </x:row>
    <x:row r="23" ht="176" customHeight="1">
      <x:c r="A23" s="85" t="str">
        <x:v>P022</x:v>
      </x:c>
      <x:c r="B23" s="86" t="n">
        <x:v>2024</x:v>
      </x:c>
      <x:c r="C23" s="75" t="str">
        <x:v>Laroche, Charles; Almansa, Andrés; Coupete, Eva</x:v>
      </x:c>
      <x:c r="D23" s="75" t="str">
        <x:v>Fast Diffusion EM: A Diffusion Model for Blind Inverse Problems With Application to Deconvolution</x:v>
      </x:c>
      <x:c r="E23" s="75" t="str">
        <x:v>WACV</x:v>
      </x:c>
      <x:c r="F23" s="75" t="str">
        <x:v>Conference</x:v>
      </x:c>
      <x:c r="G23" s="75" t="str">
        <x:v>Yes</x:v>
      </x:c>
      <x:c r="H23" s="75" t="str">
        <x:v>Blind deblurring</x:v>
      </x:c>
      <x:c r="I23" s="75" t="str">
        <x:v>Natural images</x:v>
      </x:c>
      <x:c r="J23" s="75" t="str">
        <x:v>Convolutional blur</x:v>
      </x:c>
      <x:c r="K23" s="75" t="str">
        <x:v>Unknown</x:v>
      </x:c>
      <x:c r="L23" s="75" t="str">
        <x:v>Unknown blur kernel</x:v>
      </x:c>
      <x:c r="M23" s="75" t="str">
        <x:v>EM plus diffusion</x:v>
      </x:c>
      <x:c r="N23" s="75" t="str">
        <x:v>Soft likelihood</x:v>
      </x:c>
      <x:c r="O23" s="75" t="str">
        <x:v>Yes</x:v>
      </x:c>
      <x:c r="P23" s="75" t="str">
        <x:v>Yes</x:v>
      </x:c>
      <x:c r="Q23" s="75" t="str">
        <x:v>No</x:v>
      </x:c>
      <x:c r="R23" s="75" t="str">
        <x:v>No</x:v>
      </x:c>
      <x:c r="S23" s="75" t="str">
        <x:v>Yes</x:v>
      </x:c>
      <x:c r="T23" s="75" t="str">
        <x:v>No</x:v>
      </x:c>
      <x:c r="U23" s="75" t="str">
        <x:v>Yes</x:v>
      </x:c>
      <x:c r="V23" s="75" t="str">
        <x:v>No</x:v>
      </x:c>
      <x:c r="W23" s="75" t="str">
        <x:v>Partial</x:v>
      </x:c>
      <x:c r="X23" s="75" t="str">
        <x:v>No</x:v>
      </x:c>
      <x:c r="Y23" s="75" t="str">
        <x:v>Yes</x:v>
      </x:c>
      <x:c r="Z23" s="75" t="str">
        <x:v>AI full-text eligibility assessed; selected features verified</x:v>
      </x:c>
      <x:c r="AA23" s="75" t="str">
        <x:v>Pending formal eligibility</x:v>
      </x:c>
      <x:c r="AB23" s="75" t="str">
        <x:v>Yes</x:v>
      </x:c>
      <x:c r="AC23" s="75" t="str">
        <x:v>Alternating image and kernel estimation</x:v>
      </x:c>
      <x:c r="AD23" s="75" t="str">
        <x:v>No calibrated joint UQ, compound chain or failure policy</x:v>
      </x:c>
      <x:c r="AE23" s="75" t="str">
        <x:v>https://openaccess.thecvf.com/content/WACV2024/html/Laroche_Fast_Diffusion_EM_A_Diffusion_Model_for_Blind_Inverse_Problems_WACV_2024_paper.html</x:v>
      </x:c>
      <x:c r="AF23" s="75" t="str">
        <x:v>Nearest EM competitor | AI pilot 2026-09-16: advance to full-text review; human pending. Basis: Author preprint abstract and authors' institutional publication record. Feature codes remain provisional. Does uncertainty describe only image samples conditional on a point-estimated kernel, or propagate kernel uncertainty? Extract assumed kernel/noise families. Evidence: https://arxiv.org/abs/2309.00287 | AI full-text 2026-09-16: include; human pending. Verified fields: O, P, Q, R, S, T, U, W, X. Evidence/version/read extent: screening/full_text_03.json (P022). Unlisted feature codes remain provisional.</x:v>
      </x:c>
    </x:row>
    <x:row r="24" ht="176" customHeight="1">
      <x:c r="A24" s="85" t="str">
        <x:v>P023</x:v>
      </x:c>
      <x:c r="B24" s="86" t="n">
        <x:v>2024</x:v>
      </x:c>
      <x:c r="C24" s="75" t="str">
        <x:v>Chihaoui et al.</x:v>
      </x:c>
      <x:c r="D24" s="75" t="str">
        <x:v>Blind Image Restoration via Fast Diffusion Inversion</x:v>
      </x:c>
      <x:c r="E24" s="75" t="str">
        <x:v>NeurIPS</x:v>
      </x:c>
      <x:c r="F24" s="75" t="str">
        <x:v>Conference</x:v>
      </x:c>
      <x:c r="G24" s="75" t="str">
        <x:v>Yes</x:v>
      </x:c>
      <x:c r="H24" s="75" t="str">
        <x:v>Blind restoration</x:v>
      </x:c>
      <x:c r="I24" s="75" t="str">
        <x:v>Natural images</x:v>
      </x:c>
      <x:c r="J24" s="75" t="str">
        <x:v>Parametric degradation</x:v>
      </x:c>
      <x:c r="K24" s="75" t="str">
        <x:v>Unknown</x:v>
      </x:c>
      <x:c r="L24" s="75" t="str">
        <x:v>Unknown degradation parameters</x:v>
      </x:c>
      <x:c r="M24" s="75" t="str">
        <x:v>Diffusion inversion optimisation</x:v>
      </x:c>
      <x:c r="N24" s="75" t="str">
        <x:v>Hard/null-space</x:v>
      </x:c>
      <x:c r="O24" s="75" t="str">
        <x:v>Yes</x:v>
      </x:c>
      <x:c r="P24" s="75" t="str">
        <x:v>No</x:v>
      </x:c>
      <x:c r="Q24" s="75" t="str">
        <x:v>No</x:v>
      </x:c>
      <x:c r="R24" s="75" t="str">
        <x:v>No</x:v>
      </x:c>
      <x:c r="S24" s="75" t="str">
        <x:v>Yes</x:v>
      </x:c>
      <x:c r="T24" s="75" t="str">
        <x:v>No</x:v>
      </x:c>
      <x:c r="U24" s="75" t="str">
        <x:v>Yes</x:v>
      </x:c>
      <x:c r="V24" s="75" t="str">
        <x:v>No</x:v>
      </x:c>
      <x:c r="W24" s="75" t="str">
        <x:v>Partial</x:v>
      </x:c>
      <x:c r="X24" s="75" t="str">
        <x:v>No</x:v>
      </x:c>
      <x:c r="Y24" s="75" t="str">
        <x:v>Yes</x:v>
      </x:c>
      <x:c r="Z24" s="75" t="str">
        <x:v>AI full-text eligibility assessed; selected features verified</x:v>
      </x:c>
      <x:c r="AA24" s="75" t="str">
        <x:v>Pending formal eligibility</x:v>
      </x:c>
      <x:c r="AB24" s="75" t="str">
        <x:v>Yes</x:v>
      </x:c>
      <x:c r="AC24" s="75" t="str">
        <x:v>Blind restoration by optimising diffusion input noise</x:v>
      </x:c>
      <x:c r="AD24" s="75" t="str">
        <x:v>No full acquisition-chain mismatch or calibrated abstention</x:v>
      </x:c>
      <x:c r="AE24" s="75" t="str">
        <x:v>https://proceedings.neurips.cc/paper_files/paper/2024/hash/3d13d910b48ac2e672a32cfdf98be1bf-Abstract-Conference.html</x:v>
      </x:c>
      <x:c r="AF24" s="75" t="str">
        <x:v>Nearest blind inversion competitor | AI pilot 2026-09-16: advance to full-text review; human pending. Basis: Author preprint abstract and official proceedings record. Feature codes remain provisional. Which degradation combinations and mismatched families are tested? Optimization on a generative manifold does not itself certify measurement-supported detail. Evidence: https://arxiv.org/abs/2405.19572 | AI full-text 2026-09-16: include; human pending. Verified fields: O, P, Q, R, T, U, X. Evidence/version/read extent: screening/full_text_03.json (P023). Unlisted feature codes remain provisional.</x:v>
      </x:c>
    </x:row>
    <x:row r="25" ht="176" customHeight="1">
      <x:c r="A25" s="85" t="str">
        <x:v>P024</x:v>
      </x:c>
      <x:c r="B25" s="86" t="n">
        <x:v>2026</x:v>
      </x:c>
      <x:c r="C25" s="75" t="str">
        <x:v>Bai et al.</x:v>
      </x:c>
      <x:c r="D25" s="75" t="str">
        <x:v>Blind Inversion Using Latent Diffusion Priors</x:v>
      </x:c>
      <x:c r="E25" s="75" t="str">
        <x:v>IEEE Transactions on Image Processing</x:v>
      </x:c>
      <x:c r="F25" s="75" t="str">
        <x:v>Journal</x:v>
      </x:c>
      <x:c r="G25" s="75" t="str">
        <x:v>Yes</x:v>
      </x:c>
      <x:c r="H25" s="75" t="str">
        <x:v>Deblurring/3D inverse rendering</x:v>
      </x:c>
      <x:c r="I25" s="75" t="str">
        <x:v>Natural/3D</x:v>
      </x:c>
      <x:c r="J25" s="75" t="str">
        <x:v>Linear and nonlinear operators</x:v>
      </x:c>
      <x:c r="K25" s="75" t="str">
        <x:v>Unknown</x:v>
      </x:c>
      <x:c r="L25" s="75" t="str">
        <x:v>Unknown operator parameters</x:v>
      </x:c>
      <x:c r="M25" s="75" t="str">
        <x:v>Latent diffusion variational EM</x:v>
      </x:c>
      <x:c r="N25" s="75" t="str">
        <x:v>Soft likelihood</x:v>
      </x:c>
      <x:c r="O25" s="75" t="str">
        <x:v>Yes</x:v>
      </x:c>
      <x:c r="P25" s="75" t="str">
        <x:v>Yes</x:v>
      </x:c>
      <x:c r="Q25" s="75" t="str">
        <x:v>No</x:v>
      </x:c>
      <x:c r="R25" s="75" t="str">
        <x:v>No</x:v>
      </x:c>
      <x:c r="S25" s="75" t="str">
        <x:v>Yes</x:v>
      </x:c>
      <x:c r="T25" s="75" t="str">
        <x:v>Partial</x:v>
      </x:c>
      <x:c r="U25" s="75" t="str">
        <x:v>No</x:v>
      </x:c>
      <x:c r="V25" s="75" t="str">
        <x:v>No</x:v>
      </x:c>
      <x:c r="W25" s="75" t="str">
        <x:v>No</x:v>
      </x:c>
      <x:c r="X25" s="75" t="str">
        <x:v>No</x:v>
      </x:c>
      <x:c r="Y25" s="75" t="str">
        <x:v>Yes</x:v>
      </x:c>
      <x:c r="Z25" s="75" t="str">
        <x:v>AI full-text eligibility assessed; selected features verified</x:v>
      </x:c>
      <x:c r="AA25" s="75" t="str">
        <x:v>Pending formal eligibility</x:v>
      </x:c>
      <x:c r="AB25" s="75" t="str">
        <x:v>Yes</x:v>
      </x:c>
      <x:c r="AC25" s="75" t="str">
        <x:v>Latent diffusion EM for blind 2D/3D inversion</x:v>
      </x:c>
      <x:c r="AD25" s="75" t="str">
        <x:v>Basic joint inversion occupied; reliability layer missing</x:v>
      </x:c>
      <x:c r="AE25" s="75" t="str">
        <x:v>https://ieeexplore.ieee.org/document/11351303/</x:v>
      </x:c>
      <x:c r="AF25" s="75" t="str">
        <x:v>Verify final TIP metadata during full-text stage | AI pilot 2026-09-16: advance to full-text review; human pending. Basis: Author preprint abstract; journal lineage reconciled with the existing verification audit. Feature codes remain provisional. Inspect the final journal report for additions, operator constraints and uncertainty evaluation; the DOI remains unverified and is not invented. Evidence: https://arxiv.org/abs/2407.01027 | AI full-text 2026-09-16: include; human pending. Verified fields: O, P, Q, R. Evidence/version/read extent: screening/full_text_03.json (P024). Unlisted feature codes remain provisional.</x:v>
      </x:c>
    </x:row>
    <x:row r="26" ht="112" customHeight="1">
      <x:c r="A26" s="85" t="str">
        <x:v>P025</x:v>
      </x:c>
      <x:c r="B26" s="86" t="n">
        <x:v>2024</x:v>
      </x:c>
      <x:c r="C26" s="75" t="str">
        <x:v>Lin et al.</x:v>
      </x:c>
      <x:c r="D26" s="75" t="str">
        <x:v>DiffBIR: Toward Blind Image Restoration with Generative Diffusion Prior</x:v>
      </x:c>
      <x:c r="E26" s="75" t="str">
        <x:v>ECCV</x:v>
      </x:c>
      <x:c r="F26" s="75" t="str">
        <x:v>Conference</x:v>
      </x:c>
      <x:c r="G26" s="75" t="str">
        <x:v>Yes</x:v>
      </x:c>
      <x:c r="H26" s="75" t="str">
        <x:v>Real-world blind restoration</x:v>
      </x:c>
      <x:c r="I26" s="75" t="str">
        <x:v>Natural images</x:v>
      </x:c>
      <x:c r="J26" s="75" t="str">
        <x:v>Implicit degradation</x:v>
      </x:c>
      <x:c r="K26" s="75" t="str">
        <x:v>Unknown</x:v>
      </x:c>
      <x:c r="L26" s="75" t="str">
        <x:v>Mixed unknown degradation</x:v>
      </x:c>
      <x:c r="M26" s="75" t="str">
        <x:v>Two-stage diffusion restoration</x:v>
      </x:c>
      <x:c r="N26" s="75" t="str">
        <x:v>Implicit</x:v>
      </x:c>
      <x:c r="O26" s="75" t="str">
        <x:v>No</x:v>
      </x:c>
      <x:c r="P26" s="75" t="str">
        <x:v>No</x:v>
      </x:c>
      <x:c r="Q26" s="75" t="str">
        <x:v>No</x:v>
      </x:c>
      <x:c r="R26" s="75" t="str">
        <x:v>No</x:v>
      </x:c>
      <x:c r="S26" s="75" t="str">
        <x:v>Yes</x:v>
      </x:c>
      <x:c r="T26" s="75" t="str">
        <x:v>Yes</x:v>
      </x:c>
      <x:c r="U26" s="75" t="str">
        <x:v>Yes</x:v>
      </x:c>
      <x:c r="V26" s="75" t="str">
        <x:v>No</x:v>
      </x:c>
      <x:c r="W26" s="75" t="str">
        <x:v>No</x:v>
      </x:c>
      <x:c r="X26" s="75" t="str">
        <x:v>No</x:v>
      </x:c>
      <x:c r="Y26" s="75" t="str">
        <x:v>Yes</x:v>
      </x:c>
      <x:c r="Z26" s="75" t="str">
        <x:v>Abstract inspected; full-text pending</x:v>
      </x:c>
      <x:c r="AA26" s="75" t="str">
        <x:v>Pending formal eligibility</x:v>
      </x:c>
      <x:c r="AB26" s="75" t="str">
        <x:v>Yes</x:v>
      </x:c>
      <x:c r="AC26" s="75" t="str">
        <x:v>Generative prior improves real-world perceptual restoration</x:v>
      </x:c>
      <x:c r="AD26" s="75" t="str">
        <x:v>Measurement-supported detail and abstention not central</x:v>
      </x:c>
      <x:c r="AE26" s="75" t="str">
        <x:v>https://link.springer.com/chapter/10.1007/978-3-031-73202-7_25</x:v>
      </x:c>
      <x:c r="AF26" s="75" t="str">
        <x:v>Generative baseline | AI pilot 2026-09-16: advance to full-text review; human pending. Basis: Publisher chapter abstract. Feature codes remain provisional. How is fidelity measured, and are unsupported details assessed against ground truth? The former ECCV poster URL pointed to the unrelated CLOSER paper. Evidence: https://link.springer.com/chapter/10.1007/978-3-031-73202-7_25</x:v>
      </x:c>
    </x:row>
    <x:row r="27" ht="176" customHeight="1">
      <x:c r="A27" s="85" t="str">
        <x:v>P026</x:v>
      </x:c>
      <x:c r="B27" s="86" t="n">
        <x:v>2024</x:v>
      </x:c>
      <x:c r="C27" s="75" t="str">
        <x:v>Zhao et al.</x:v>
      </x:c>
      <x:c r="D27" s="75" t="str">
        <x:v>AverNet: All-in-One Video Restoration for Time-Varying Unknown Degradations</x:v>
      </x:c>
      <x:c r="E27" s="75" t="str">
        <x:v>NeurIPS</x:v>
      </x:c>
      <x:c r="F27" s="75" t="str">
        <x:v>Conference</x:v>
      </x:c>
      <x:c r="G27" s="75" t="str">
        <x:v>Yes</x:v>
      </x:c>
      <x:c r="H27" s="75" t="str">
        <x:v>Video restoration</x:v>
      </x:c>
      <x:c r="I27" s="75" t="str">
        <x:v>Synthetic video</x:v>
      </x:c>
      <x:c r="J27" s="75" t="str">
        <x:v>Implicit degradation</x:v>
      </x:c>
      <x:c r="K27" s="75" t="str">
        <x:v>Unknown</x:v>
      </x:c>
      <x:c r="L27" s="75" t="str">
        <x:v>Seven time-varying degradation types</x:v>
      </x:c>
      <x:c r="M27" s="75" t="str">
        <x:v>Prompt-guided video restoration</x:v>
      </x:c>
      <x:c r="N27" s="75" t="str">
        <x:v>Implicit</x:v>
      </x:c>
      <x:c r="O27" s="75" t="str">
        <x:v>No</x:v>
      </x:c>
      <x:c r="P27" s="75" t="str">
        <x:v>No</x:v>
      </x:c>
      <x:c r="Q27" s="75" t="str">
        <x:v>No</x:v>
      </x:c>
      <x:c r="R27" s="75" t="str">
        <x:v>No</x:v>
      </x:c>
      <x:c r="S27" s="75" t="str">
        <x:v>Yes</x:v>
      </x:c>
      <x:c r="T27" s="75" t="str">
        <x:v>No</x:v>
      </x:c>
      <x:c r="U27" s="75" t="str">
        <x:v>Yes</x:v>
      </x:c>
      <x:c r="V27" s="75" t="str">
        <x:v>Yes</x:v>
      </x:c>
      <x:c r="W27" s="75" t="str">
        <x:v>No</x:v>
      </x:c>
      <x:c r="X27" s="75" t="str">
        <x:v>No</x:v>
      </x:c>
      <x:c r="Y27" s="75" t="str">
        <x:v>Yes</x:v>
      </x:c>
      <x:c r="Z27" s="75" t="str">
        <x:v>AI full-text eligibility assessed; selected features verified</x:v>
      </x:c>
      <x:c r="AA27" s="75" t="str">
        <x:v>Pending formal eligibility</x:v>
      </x:c>
      <x:c r="AB27" s="75" t="str">
        <x:v>Yes</x:v>
      </x:c>
      <x:c r="AC27" s="75" t="str">
        <x:v>Handles time-varying unknown video degradations</x:v>
      </x:c>
      <x:c r="AD27" s="75" t="str">
        <x:v>Synthetic datasets; no explicit operator mismatch, joint UQ or evidence calibration</x:v>
      </x:c>
      <x:c r="AE27" s="75" t="str">
        <x:v>https://proceedings.neurips.cc/paper_files/paper/2024/hash/e635a25e49e73adc51f76aef462ff2f8-Abstract-Conference.html</x:v>
      </x:c>
      <x:c r="AF27" s="75" t="str">
        <x:v>Closest video application competitor | AI pilot 2026-09-16: advance to full-text review; human pending. Basis: Official proceedings record and targeted full-text inspection of sections 4.1–4.2. Feature codes remain provisional. Separate new degradation combinations and change intervals from genuinely unseen operator families or cameras; verify any reliability claims beyond PSNR/SSIM. Evidence: https://proceedings.neurips.cc/paper_files/paper/2024/file/e635a25e49e73adc51f76aef462ff2f8-Paper-Conference.pdf | AI full-text 2026-09-16: include; human pending. Verified fields: O, P, Q, R, S, T, U, V, X. Evidence/version/read extent: screening/full_text_02.json (P026). Unlisted feature codes remain provisional.</x:v>
      </x:c>
    </x:row>
    <x:row r="28" ht="112" customHeight="1">
      <x:c r="A28" s="85" t="str">
        <x:v>P027</x:v>
      </x:c>
      <x:c r="B28" s="86" t="n">
        <x:v>2024</x:v>
      </x:c>
      <x:c r="C28" s="75" t="str">
        <x:v>Bogatyrev, Evgeney; Molodetskikh, Ivan; Vatolin, Dmitriy S.</x:v>
      </x:c>
      <x:c r="D28" s="75" t="str">
        <x:v>SR+Codec: a Benchmark of Super-Resolution for Video Compression Bitrate Reduction</x:v>
      </x:c>
      <x:c r="E28" s="75" t="str">
        <x:v>BMVC</x:v>
      </x:c>
      <x:c r="F28" s="75" t="str">
        <x:v>Conference</x:v>
      </x:c>
      <x:c r="G28" s="75" t="str">
        <x:v>Yes</x:v>
      </x:c>
      <x:c r="H28" s="75" t="str">
        <x:v>Video super-resolution</x:v>
      </x:c>
      <x:c r="I28" s="75" t="str">
        <x:v>Compressed video</x:v>
      </x:c>
      <x:c r="J28" s="75" t="str">
        <x:v>Codec and downsampling</x:v>
      </x:c>
      <x:c r="K28" s="75" t="str">
        <x:v>Approximate</x:v>
      </x:c>
      <x:c r="L28" s="75" t="str">
        <x:v>Codec/model shift</x:v>
      </x:c>
      <x:c r="M28" s="75" t="str">
        <x:v>Benchmark</x:v>
      </x:c>
      <x:c r="N28" s="75" t="str">
        <x:v>None</x:v>
      </x:c>
      <x:c r="O28" s="75" t="str">
        <x:v>No</x:v>
      </x:c>
      <x:c r="P28" s="75" t="str">
        <x:v>No</x:v>
      </x:c>
      <x:c r="Q28" s="75" t="str">
        <x:v>No</x:v>
      </x:c>
      <x:c r="R28" s="75" t="str">
        <x:v>No</x:v>
      </x:c>
      <x:c r="S28" s="75" t="str">
        <x:v>Yes</x:v>
      </x:c>
      <x:c r="T28" s="75" t="str">
        <x:v>Yes</x:v>
      </x:c>
      <x:c r="U28" s="75" t="str">
        <x:v>Yes</x:v>
      </x:c>
      <x:c r="V28" s="75" t="str">
        <x:v>Yes</x:v>
      </x:c>
      <x:c r="W28" s="75" t="str">
        <x:v>No</x:v>
      </x:c>
      <x:c r="X28" s="75" t="str">
        <x:v>No</x:v>
      </x:c>
      <x:c r="Y28" s="75" t="str">
        <x:v>Yes</x:v>
      </x:c>
      <x:c r="Z28" s="75" t="str">
        <x:v>Abstract inspected; full-text pending</x:v>
      </x:c>
      <x:c r="AA28" s="75" t="str">
        <x:v>Pending formal eligibility</x:v>
      </x:c>
      <x:c r="AB28" s="75" t="str">
        <x:v>No</x:v>
      </x:c>
      <x:c r="AC28" s="75" t="str">
        <x:v>Benchmarks 19 SR models across codecs</x:v>
      </x:c>
      <x:c r="AD28" s="75" t="str">
        <x:v>Does not unify blur/noise/operator UQ and abstention</x:v>
      </x:c>
      <x:c r="AE28" s="75" t="str">
        <x:v>https://bmvc2024.org/proceedings/959/</x:v>
      </x:c>
      <x:c r="AF28" s="75" t="str">
        <x:v>Codec evidence | AI pilot 2026-09-16: advance to full-text review; human pending. Basis: Official BMVC proceedings abstract and citation. Feature codes remain provisional. Can its codec transfer protocol support a controlled degradation-shift experiment? It studies bitrate reduction, not forensic reconstruction. The former arXiv URL was an unrelated SLAM paper. Evidence: https://bmvc2024.org/proceedings/959/</x:v>
      </x:c>
    </x:row>
    <x:row r="29" ht="176" customHeight="1">
      <x:c r="A29" s="85" t="str">
        <x:v>P028</x:v>
      </x:c>
      <x:c r="B29" s="86" t="n">
        <x:v>2024</x:v>
      </x:c>
      <x:c r="C29" s="75" t="str">
        <x:v>Yu et al.</x:v>
      </x:c>
      <x:c r="D29" s="75" t="str">
        <x:v>Scaling Up to Excellence: Practicing Model Scaling for Photo-Realistic Image Restoration In the Wild</x:v>
      </x:c>
      <x:c r="E29" s="75" t="str">
        <x:v>CVPR</x:v>
      </x:c>
      <x:c r="F29" s="75" t="str">
        <x:v>Conference</x:v>
      </x:c>
      <x:c r="G29" s="75" t="str">
        <x:v>Yes</x:v>
      </x:c>
      <x:c r="H29" s="75" t="str">
        <x:v>Real-world restoration</x:v>
      </x:c>
      <x:c r="I29" s="75" t="str">
        <x:v>Natural images</x:v>
      </x:c>
      <x:c r="J29" s="75" t="str">
        <x:v>Implicit degradation</x:v>
      </x:c>
      <x:c r="K29" s="75" t="str">
        <x:v>Unknown</x:v>
      </x:c>
      <x:c r="L29" s="75" t="str">
        <x:v>Mixed unknown degradation</x:v>
      </x:c>
      <x:c r="M29" s="75" t="str">
        <x:v>Large latent diffusion</x:v>
      </x:c>
      <x:c r="N29" s="75" t="str">
        <x:v>Implicit</x:v>
      </x:c>
      <x:c r="O29" s="75" t="str">
        <x:v>No</x:v>
      </x:c>
      <x:c r="P29" s="75" t="str">
        <x:v>No</x:v>
      </x:c>
      <x:c r="Q29" s="75" t="str">
        <x:v>No</x:v>
      </x:c>
      <x:c r="R29" s="75" t="str">
        <x:v>No</x:v>
      </x:c>
      <x:c r="S29" s="75" t="str">
        <x:v>Yes</x:v>
      </x:c>
      <x:c r="T29" s="75" t="str">
        <x:v>Yes</x:v>
      </x:c>
      <x:c r="U29" s="75" t="str">
        <x:v>Yes</x:v>
      </x:c>
      <x:c r="V29" s="75" t="str">
        <x:v>No</x:v>
      </x:c>
      <x:c r="W29" s="75" t="str">
        <x:v>Partial</x:v>
      </x:c>
      <x:c r="X29" s="75" t="str">
        <x:v>No</x:v>
      </x:c>
      <x:c r="Y29" s="75" t="str">
        <x:v>Yes</x:v>
      </x:c>
      <x:c r="Z29" s="75" t="str">
        <x:v>AI full-text eligibility assessed; selected features verified</x:v>
      </x:c>
      <x:c r="AA29" s="75" t="str">
        <x:v>Pending formal eligibility</x:v>
      </x:c>
      <x:c r="AB29" s="75" t="str">
        <x:v>Yes</x:v>
      </x:c>
      <x:c r="AC29" s="75" t="str">
        <x:v>Scaled generative prior for perceptual restoration</x:v>
      </x:c>
      <x:c r="AD29" s="75" t="str">
        <x:v>Realism does not establish evidential faithfulness</x:v>
      </x:c>
      <x:c r="AE29" s="75" t="str">
        <x:v>https://arxiv.org/abs/2401.13627</x:v>
      </x:c>
      <x:c r="AF29" s="75" t="str">
        <x:v>Generative baseline | AI pilot 2026-09-16: advance to full-text review; human pending. Basis: Author preprint abstract with CVPR acceptance identified. Feature codes remain provisional. How do prompts and prior strength affect invented detail? Extract quantitative fidelity tests and inference costs before choosing a baseline. Evidence: https://arxiv.org/abs/2401.13627 | AI full-text 2026-09-16: include; human pending. Verified fields: O, Q, R, T, U, W, X. Evidence/version/read extent: screening/full_text_06.json (P028). Unlisted feature codes remain provisional.</x:v>
      </x:c>
    </x:row>
    <x:row r="30" ht="112" customHeight="1">
      <x:c r="A30" s="85" t="str">
        <x:v>P029</x:v>
      </x:c>
      <x:c r="B30" s="86" t="n">
        <x:v>2024</x:v>
      </x:c>
      <x:c r="C30" s="75" t="str">
        <x:v>Qian et al.</x:v>
      </x:c>
      <x:c r="D30" s="75" t="str">
        <x:v>Robust Unrolled Network for Lensless Imaging with Enhanced Resistance to Model Mismatch and Noise</x:v>
      </x:c>
      <x:c r="E30" s="75" t="str">
        <x:v>Optics Express</x:v>
      </x:c>
      <x:c r="F30" s="75" t="str">
        <x:v>Journal</x:v>
      </x:c>
      <x:c r="G30" s="75" t="str">
        <x:v>Yes</x:v>
      </x:c>
      <x:c r="H30" s="75" t="str">
        <x:v>Lensless imaging</x:v>
      </x:c>
      <x:c r="I30" s="75" t="str">
        <x:v>Computational imaging</x:v>
      </x:c>
      <x:c r="J30" s="75" t="str">
        <x:v>PSF/lensless operator</x:v>
      </x:c>
      <x:c r="K30" s="75" t="str">
        <x:v>Approximate</x:v>
      </x:c>
      <x:c r="L30" s="75" t="str">
        <x:v>Model mismatch and noise</x:v>
      </x:c>
      <x:c r="M30" s="75" t="str">
        <x:v>Robust unrolling</x:v>
      </x:c>
      <x:c r="N30" s="75" t="str">
        <x:v>Hard/iterative</x:v>
      </x:c>
      <x:c r="O30" s="75" t="str">
        <x:v>Partial</x:v>
      </x:c>
      <x:c r="P30" s="75" t="str">
        <x:v>No</x:v>
      </x:c>
      <x:c r="Q30" s="75" t="str">
        <x:v>No</x:v>
      </x:c>
      <x:c r="R30" s="75" t="str">
        <x:v>No</x:v>
      </x:c>
      <x:c r="S30" s="75" t="str">
        <x:v>Yes</x:v>
      </x:c>
      <x:c r="T30" s="75" t="str">
        <x:v>Yes</x:v>
      </x:c>
      <x:c r="U30" s="75" t="str">
        <x:v>No</x:v>
      </x:c>
      <x:c r="V30" s="75" t="str">
        <x:v>No</x:v>
      </x:c>
      <x:c r="W30" s="75" t="str">
        <x:v>No</x:v>
      </x:c>
      <x:c r="X30" s="75" t="str">
        <x:v>No</x:v>
      </x:c>
      <x:c r="Y30" s="75" t="str">
        <x:v>Unknown</x:v>
      </x:c>
      <x:c r="Z30" s="75" t="str">
        <x:v>Abstract inspected; full-text pending</x:v>
      </x:c>
      <x:c r="AA30" s="75" t="str">
        <x:v>Pending formal eligibility</x:v>
      </x:c>
      <x:c r="AB30" s="75" t="str">
        <x:v>Yes</x:v>
      </x:c>
      <x:c r="AC30" s="75" t="str">
        <x:v>Improves lensless mismatch/noise robustness</x:v>
      </x:c>
      <x:c r="AD30" s="75" t="str">
        <x:v>Still modality-specific; no joint calibrated reliability layer</x:v>
      </x:c>
      <x:c r="AE30" s="75" t="str">
        <x:v>https://opg.optica.org/oe/abstract.cfm?uri=oe-32-17-30267</x:v>
      </x:c>
      <x:c r="AF30" s="75" t="str">
        <x:v>Nearest robust unrolling competitor | AI pilot 2026-09-16: advance to full-text review; human pending. Basis: Paper abstract indexed by PubMed and publisher citation. Feature codes remain provisional. Which PSF errors are held out, and does the design distinguish noise from operator error? Extract any real-system validation. Evidence: https://pubmed.ncbi.nlm.nih.gov/39573193/</x:v>
      </x:c>
    </x:row>
    <x:row r="31" ht="112" customHeight="1">
      <x:c r="A31" s="85" t="str">
        <x:v>P030</x:v>
      </x:c>
      <x:c r="B31" s="86" t="n">
        <x:v>2024</x:v>
      </x:c>
      <x:c r="C31" s="75" t="str">
        <x:v>Melidonis, S.; Holden, M.; Altmann, Y.; Pereyra, M.; Zygalakis, K. C.</x:v>
      </x:c>
      <x:c r="D31" s="75" t="str">
        <x:v>Empirical Bayesian Imaging With Large-Scale Push-Forward Generative Priors</x:v>
      </x:c>
      <x:c r="E31" s="75" t="str">
        <x:v>IEEE SPL</x:v>
      </x:c>
      <x:c r="F31" s="75" t="str">
        <x:v>Journal</x:v>
      </x:c>
      <x:c r="G31" s="75" t="str">
        <x:v>Yes</x:v>
      </x:c>
      <x:c r="H31" s="75" t="str">
        <x:v>Deblurring</x:v>
      </x:c>
      <x:c r="I31" s="75" t="str">
        <x:v>Natural images</x:v>
      </x:c>
      <x:c r="J31" s="75" t="str">
        <x:v>Convolutional blur</x:v>
      </x:c>
      <x:c r="K31" s="75" t="str">
        <x:v>Known</x:v>
      </x:c>
      <x:c r="L31" s="75" t="str">
        <x:v>None central</x:v>
      </x:c>
      <x:c r="M31" s="75" t="str">
        <x:v>Empirical Bayesian generative prior</x:v>
      </x:c>
      <x:c r="N31" s="75" t="str">
        <x:v>Soft likelihood</x:v>
      </x:c>
      <x:c r="O31" s="75" t="str">
        <x:v>No</x:v>
      </x:c>
      <x:c r="P31" s="75" t="str">
        <x:v>Yes</x:v>
      </x:c>
      <x:c r="Q31" s="75" t="str">
        <x:v>No</x:v>
      </x:c>
      <x:c r="R31" s="75" t="str">
        <x:v>Partial</x:v>
      </x:c>
      <x:c r="S31" s="75" t="str">
        <x:v>No</x:v>
      </x:c>
      <x:c r="T31" s="75" t="str">
        <x:v>Partial</x:v>
      </x:c>
      <x:c r="U31" s="75" t="str">
        <x:v>No</x:v>
      </x:c>
      <x:c r="V31" s="75" t="str">
        <x:v>No</x:v>
      </x:c>
      <x:c r="W31" s="75" t="str">
        <x:v>No</x:v>
      </x:c>
      <x:c r="X31" s="75" t="str">
        <x:v>No</x:v>
      </x:c>
      <x:c r="Y31" s="75" t="str">
        <x:v>Unknown</x:v>
      </x:c>
      <x:c r="Z31" s="75" t="str">
        <x:v>Abstract inspected; full-text pending</x:v>
      </x:c>
      <x:c r="AA31" s="75" t="str">
        <x:v>Pending formal eligibility</x:v>
      </x:c>
      <x:c r="AB31" s="75" t="str">
        <x:v>No</x:v>
      </x:c>
      <x:c r="AC31" s="75" t="str">
        <x:v>Scalable posterior sampling for deblurring</x:v>
      </x:c>
      <x:c r="AD31" s="75" t="str">
        <x:v>Operator mismatch and joint calibration remain</x:v>
      </x:c>
      <x:c r="AE31" s="75" t="str">
        <x:v>https://doi.org/10.1109/LSP.2024.3361806</x:v>
      </x:c>
      <x:c r="AF31" s="75" t="str">
        <x:v>Bayesian baseline | AI pilot 2026-09-16: advance to full-text review; human pending. Basis: Authors' institutional publication abstract and author list. Feature codes remain provisional. What uncertainty is lost by conditioning on an estimated representation, and what calibration or shift tests are reported? Evidence: https://www.research.ed.ac.uk/en/publications/empirical-bayesian-imaging-with-large-scale-push-forward-generati/</x:v>
      </x:c>
    </x:row>
    <x:row r="32" ht="112" customHeight="1">
      <x:c r="A32" s="85" t="str">
        <x:v>P031</x:v>
      </x:c>
      <x:c r="B32" s="86" t="n">
        <x:v>2025</x:v>
      </x:c>
      <x:c r="C32" s="75" t="str">
        <x:v>Gottschling et al.</x:v>
      </x:c>
      <x:c r="D32" s="75" t="str">
        <x:v>The Troublesome Kernel: On Hallucinations, No Free Lunches, and the Accuracy-Stability Tradeoff in Inverse Problems</x:v>
      </x:c>
      <x:c r="E32" s="75" t="str">
        <x:v>SIAM Review</x:v>
      </x:c>
      <x:c r="F32" s="75" t="str">
        <x:v>Journal</x:v>
      </x:c>
      <x:c r="G32" s="75" t="str">
        <x:v>Yes</x:v>
      </x:c>
      <x:c r="H32" s="75" t="str">
        <x:v>Generic inverse imaging</x:v>
      </x:c>
      <x:c r="I32" s="75" t="str">
        <x:v>Theoretical</x:v>
      </x:c>
      <x:c r="J32" s="75" t="str">
        <x:v>General operator</x:v>
      </x:c>
      <x:c r="K32" s="75" t="str">
        <x:v>Known</x:v>
      </x:c>
      <x:c r="L32" s="75" t="str">
        <x:v>Ill-conditioning/kernel ambiguity</x:v>
      </x:c>
      <x:c r="M32" s="75" t="str">
        <x:v>Theory</x:v>
      </x:c>
      <x:c r="N32" s="75" t="str">
        <x:v>Operator analysis</x:v>
      </x:c>
      <x:c r="O32" s="75" t="str">
        <x:v>No</x:v>
      </x:c>
      <x:c r="P32" s="75" t="str">
        <x:v>No</x:v>
      </x:c>
      <x:c r="Q32" s="75" t="str">
        <x:v>No</x:v>
      </x:c>
      <x:c r="R32" s="75" t="str">
        <x:v>No</x:v>
      </x:c>
      <x:c r="S32" s="75" t="str">
        <x:v>Yes</x:v>
      </x:c>
      <x:c r="T32" s="75" t="str">
        <x:v>No</x:v>
      </x:c>
      <x:c r="U32" s="75" t="str">
        <x:v>No</x:v>
      </x:c>
      <x:c r="V32" s="75" t="str">
        <x:v>No</x:v>
      </x:c>
      <x:c r="W32" s="75" t="str">
        <x:v>Yes</x:v>
      </x:c>
      <x:c r="X32" s="75" t="str">
        <x:v>Partial</x:v>
      </x:c>
      <x:c r="Y32" s="75" t="str">
        <x:v>Yes</x:v>
      </x:c>
      <x:c r="Z32" s="75" t="str">
        <x:v>Abstract inspected; full-text pending</x:v>
      </x:c>
      <x:c r="AA32" s="75" t="str">
        <x:v>Pending formal eligibility</x:v>
      </x:c>
      <x:c r="AB32" s="75" t="str">
        <x:v>Yes</x:v>
      </x:c>
      <x:c r="AC32" s="75" t="str">
        <x:v>No-free-lunch results for hallucination and stability</x:v>
      </x:c>
      <x:c r="AD32" s="75" t="str">
        <x:v>Provides boundary theory, not an applied selective reconstruction system</x:v>
      </x:c>
      <x:c r="AE32" s="75" t="str">
        <x:v>https://doi.org/10.1137/23M1568739</x:v>
      </x:c>
      <x:c r="AF32" s="75" t="str">
        <x:v>Core theoretical threat model | AI pilot 2026-09-16: advance to full-text review; human pending. Basis: Publisher abstract. Feature codes remain provisional. State the theorem assumptions and operational examples precisely; do not generalize a worst-case limitation into universal failure of every learned method. Evidence: https://epubs.siam.org/doi/10.1137/23M1568739</x:v>
      </x:c>
    </x:row>
    <x:row r="33" ht="240" customHeight="1">
      <x:c r="A33" s="85" t="str">
        <x:v>P032</x:v>
      </x:c>
      <x:c r="B33" s="86" t="n">
        <x:v>2025</x:v>
      </x:c>
      <x:c r="C33" s="75" t="str">
        <x:v>Chen et al.</x:v>
      </x:c>
      <x:c r="D33" s="75" t="str">
        <x:v>Uncertainty-Aware Fourier Ptychography</x:v>
      </x:c>
      <x:c r="E33" s="75" t="str">
        <x:v>Light: Science &amp; Applications</x:v>
      </x:c>
      <x:c r="F33" s="75" t="str">
        <x:v>Journal</x:v>
      </x:c>
      <x:c r="G33" s="75" t="str">
        <x:v>Yes</x:v>
      </x:c>
      <x:c r="H33" s="75" t="str">
        <x:v>Fourier ptychography</x:v>
      </x:c>
      <x:c r="I33" s="75" t="str">
        <x:v>Computational microscopy</x:v>
      </x:c>
      <x:c r="J33" s="75" t="str">
        <x:v>Optics and alignment</x:v>
      </x:c>
      <x:c r="K33" s="75" t="str">
        <x:v>Uncalibrated</x:v>
      </x:c>
      <x:c r="L33" s="75" t="str">
        <x:v>Aberration, misalignment, poor data</x:v>
      </x:c>
      <x:c r="M33" s="75" t="str">
        <x:v>Differentiable joint optimisation</x:v>
      </x:c>
      <x:c r="N33" s="75" t="str">
        <x:v>Hard/differentiable</x:v>
      </x:c>
      <x:c r="O33" s="75" t="str">
        <x:v>Yes</x:v>
      </x:c>
      <x:c r="P33" s="75" t="str">
        <x:v>Yes</x:v>
      </x:c>
      <x:c r="Q33" s="75" t="str">
        <x:v>Yes</x:v>
      </x:c>
      <x:c r="R33" s="75" t="str">
        <x:v>Partial</x:v>
      </x:c>
      <x:c r="S33" s="75" t="str">
        <x:v>Yes</x:v>
      </x:c>
      <x:c r="T33" s="75" t="str">
        <x:v>Yes</x:v>
      </x:c>
      <x:c r="U33" s="75" t="str">
        <x:v>Yes</x:v>
      </x:c>
      <x:c r="V33" s="75" t="str">
        <x:v>No</x:v>
      </x:c>
      <x:c r="W33" s="75" t="str">
        <x:v>Partial</x:v>
      </x:c>
      <x:c r="X33" s="75" t="str">
        <x:v>No</x:v>
      </x:c>
      <x:c r="Y33" s="75" t="str">
        <x:v>Unknown</x:v>
      </x:c>
      <x:c r="Z33" s="75" t="str">
        <x:v>Incomplete evidence; retrieval pending</x:v>
      </x:c>
      <x:c r="AA33" s="75" t="str">
        <x:v>Pending formal eligibility</x:v>
      </x:c>
      <x:c r="AB33" s="75" t="str">
        <x:v>Yes</x:v>
      </x:c>
      <x:c r="AC33" s="75" t="str">
        <x:v>Simultaneous uncertainty correction and reconstruction</x:v>
      </x:c>
      <x:c r="AD33" s="75" t="str">
        <x:v>Closest analogue; no surveillance/codec pipeline or selective evidential output</x:v>
      </x:c>
      <x:c r="AE33" s="75" t="str">
        <x:v>https://doi.org/10.1038/s41377-025-01915-w</x:v>
      </x:c>
      <x:c r="AF33" s="75" t="str">
        <x:v>Highest-priority full-text competitor | AI pilot 2026-09-16: advance to full-text review; human pending. Basis: Publisher title and indexed abstract excerpt only; complete abstract and full text blocked by retrieval challenges. Feature codes remain provisional. Retrieve the complete paper. Does uncertainty mean uncertain acquisition parameters, probabilistic posterior uncertainty, or both? Existing positive feature codes remain unverified. Evidence: https://www.nature.com/articles/s41377-025-01915-w | Batch 03 revisit 2026-09-16: The excerpt concerns system uncertainties such as misalignment and aberration. Positive legacy image/operator uncertainty and calibration codes are not verified probabilistic capabilities. Full text is required. Source: https://www.nature.com/articles/s41377-025-01915-w</x:v>
      </x:c>
    </x:row>
    <x:row r="34" ht="176" customHeight="1">
      <x:c r="A34" s="85" t="str">
        <x:v>P033</x:v>
      </x:c>
      <x:c r="B34" s="86" t="n">
        <x:v>2025</x:v>
      </x:c>
      <x:c r="C34" s="75" t="str">
        <x:v>Shoushtari et al.</x:v>
      </x:c>
      <x:c r="D34" s="75" t="str">
        <x:v>Unsupervised Detection of Distribution Shift in Inverse Problems Using Diffusion Models</x:v>
      </x:c>
      <x:c r="E34" s="75" t="str">
        <x:v>arXiv</x:v>
      </x:c>
      <x:c r="F34" s="75" t="str">
        <x:v>Preprint</x:v>
      </x:c>
      <x:c r="G34" s="75" t="str">
        <x:v>No</x:v>
      </x:c>
      <x:c r="H34" s="75" t="str">
        <x:v>Multiple inverse tasks</x:v>
      </x:c>
      <x:c r="I34" s="75" t="str">
        <x:v>Natural images</x:v>
      </x:c>
      <x:c r="J34" s="75" t="str">
        <x:v>Indirect measurements</x:v>
      </x:c>
      <x:c r="K34" s="75" t="str">
        <x:v>Known</x:v>
      </x:c>
      <x:c r="L34" s="75" t="str">
        <x:v>Image distribution shift</x:v>
      </x:c>
      <x:c r="M34" s="75" t="str">
        <x:v>Score-based shift detection</x:v>
      </x:c>
      <x:c r="N34" s="75" t="str">
        <x:v>Likelihood/score</x:v>
      </x:c>
      <x:c r="O34" s="75" t="str">
        <x:v>No</x:v>
      </x:c>
      <x:c r="P34" s="75" t="str">
        <x:v>No</x:v>
      </x:c>
      <x:c r="Q34" s="75" t="str">
        <x:v>No</x:v>
      </x:c>
      <x:c r="R34" s="75" t="str">
        <x:v>No</x:v>
      </x:c>
      <x:c r="S34" s="75" t="str">
        <x:v>Yes</x:v>
      </x:c>
      <x:c r="T34" s="75" t="str">
        <x:v>No</x:v>
      </x:c>
      <x:c r="U34" s="75" t="str">
        <x:v>No</x:v>
      </x:c>
      <x:c r="V34" s="75" t="str">
        <x:v>No</x:v>
      </x:c>
      <x:c r="W34" s="75" t="str">
        <x:v>No</x:v>
      </x:c>
      <x:c r="X34" s="75" t="str">
        <x:v>No</x:v>
      </x:c>
      <x:c r="Y34" s="75" t="str">
        <x:v>Unknown</x:v>
      </x:c>
      <x:c r="Z34" s="75" t="str">
        <x:v>AI full-text eligibility assessed; selected features verified</x:v>
      </x:c>
      <x:c r="AA34" s="75" t="str">
        <x:v>Pending formal eligibility</x:v>
      </x:c>
      <x:c r="AB34" s="75" t="str">
        <x:v>Yes</x:v>
      </x:c>
      <x:c r="AC34" s="75" t="str">
        <x:v>Measurement-only distribution-shift metric</x:v>
      </x:c>
      <x:c r="AD34" s="75" t="str">
        <x:v>Not joint image/operator calibration</x:v>
      </x:c>
      <x:c r="AE34" s="75" t="str">
        <x:v>https://arxiv.org/abs/2505.11482</x:v>
      </x:c>
      <x:c r="AF34" s="75" t="str">
        <x:v>OOD guardrail candidate | AI pilot 2026-09-16: advance to full-text review; human pending. Basis: Author preprint abstract. Feature codes remain provisional. Distinguish image-prior shift from acquisition-operator shift; identify the detection unit, assumptions and validated thresholds. Evidence: https://arxiv.org/abs/2505.11482 | AI full-text 2026-09-16: include; human pending. Verified fields: O, P, Q, R, S, X. Evidence/version/read extent: screening/full_text_02.json (P033). Unlisted feature codes remain provisional.</x:v>
      </x:c>
    </x:row>
    <x:row r="35" ht="176" customHeight="1">
      <x:c r="A35" s="85" t="str">
        <x:v>P034</x:v>
      </x:c>
      <x:c r="B35" s="86" t="n">
        <x:v>2025</x:v>
      </x:c>
      <x:c r="C35" s="75" t="str">
        <x:v>Kim et al.</x:v>
      </x:c>
      <x:c r="D35" s="75" t="str">
        <x:v>Towards Distribution-Shift Uncertainty Estimation for Inverse Problems with Generative Priors</x:v>
      </x:c>
      <x:c r="E35" s="75" t="str">
        <x:v>arXiv</x:v>
      </x:c>
      <x:c r="F35" s="75" t="str">
        <x:v>Preprint</x:v>
      </x:c>
      <x:c r="G35" s="75" t="str">
        <x:v>No</x:v>
      </x:c>
      <x:c r="H35" s="75" t="str">
        <x:v>Tomographic reconstruction</x:v>
      </x:c>
      <x:c r="I35" s="75" t="str">
        <x:v>Synthetic digits</x:v>
      </x:c>
      <x:c r="J35" s="75" t="str">
        <x:v>Linear operator</x:v>
      </x:c>
      <x:c r="K35" s="75" t="str">
        <x:v>Known</x:v>
      </x:c>
      <x:c r="L35" s="75" t="str">
        <x:v>Image distribution shift</x:v>
      </x:c>
      <x:c r="M35" s="75" t="str">
        <x:v>Stability-based OOD indicator</x:v>
      </x:c>
      <x:c r="N35" s="75" t="str">
        <x:v>Operator perturbation</x:v>
      </x:c>
      <x:c r="O35" s="75" t="str">
        <x:v>No</x:v>
      </x:c>
      <x:c r="P35" s="75" t="str">
        <x:v>Yes</x:v>
      </x:c>
      <x:c r="Q35" s="75" t="str">
        <x:v>No</x:v>
      </x:c>
      <x:c r="R35" s="75" t="str">
        <x:v>No</x:v>
      </x:c>
      <x:c r="S35" s="75" t="str">
        <x:v>Yes</x:v>
      </x:c>
      <x:c r="T35" s="75" t="str">
        <x:v>No</x:v>
      </x:c>
      <x:c r="U35" s="75" t="str">
        <x:v>No</x:v>
      </x:c>
      <x:c r="V35" s="75" t="str">
        <x:v>No</x:v>
      </x:c>
      <x:c r="W35" s="75" t="str">
        <x:v>Partial</x:v>
      </x:c>
      <x:c r="X35" s="75" t="str">
        <x:v>No</x:v>
      </x:c>
      <x:c r="Y35" s="75" t="str">
        <x:v>Unknown</x:v>
      </x:c>
      <x:c r="Z35" s="75" t="str">
        <x:v>AI full-text eligibility assessed; selected features verified</x:v>
      </x:c>
      <x:c r="AA35" s="75" t="str">
        <x:v>Pending formal eligibility</x:v>
      </x:c>
      <x:c r="AB35" s="75" t="str">
        <x:v>Yes</x:v>
      </x:c>
      <x:c r="AC35" s="75" t="str">
        <x:v>Calibration-free instance-level OOD indicator</x:v>
      </x:c>
      <x:c r="AD35" s="75" t="str">
        <x:v>Does not model compound physical mismatch or operator UQ</x:v>
      </x:c>
      <x:c r="AE35" s="75" t="str">
        <x:v>https://arxiv.org/abs/2510.10947</x:v>
      </x:c>
      <x:c r="AF35" s="75" t="str">
        <x:v>Failure-detection candidate | AI pilot 2026-09-16: advance to full-text review; human pending. Basis: Author preprint abstract; final conference metadata still pending. Feature codes remain provisional. Does it generalize to natural images and unseen acquisition families? Calibration-free estimation is not a coverage guarantee. Resolve the CAMSAP lineage before locking metadata. Evidence: https://arxiv.org/abs/2510.10947 | AI full-text 2026-09-16: include; human pending. Verified fields: P, Q, R, S, T, X. Evidence/version/read extent: screening/full_text_02.json (P034). Unlisted feature codes remain provisional.</x:v>
      </x:c>
    </x:row>
    <x:row r="36" ht="112" customHeight="1">
      <x:c r="A36" s="85" t="str">
        <x:v>P035</x:v>
      </x:c>
      <x:c r="B36" s="86" t="n">
        <x:v>2026</x:v>
      </x:c>
      <x:c r="C36" s="75" t="str">
        <x:v>Lee &amp; Jang</x:v>
      </x:c>
      <x:c r="D36" s="75" t="str">
        <x:v>Mitigating Forward Model Mismatch in Inverse Problems via Learned Residuals and Diffusion Priors</x:v>
      </x:c>
      <x:c r="E36" s="75" t="str">
        <x:v>SPIE</x:v>
      </x:c>
      <x:c r="F36" s="75" t="str">
        <x:v>Conference</x:v>
      </x:c>
      <x:c r="G36" s="75" t="str">
        <x:v>Yes</x:v>
      </x:c>
      <x:c r="H36" s="75" t="str">
        <x:v>Computational imaging</x:v>
      </x:c>
      <x:c r="I36" s="75" t="str">
        <x:v>Scientific imaging</x:v>
      </x:c>
      <x:c r="J36" s="75" t="str">
        <x:v>Approximate differentiable operator</x:v>
      </x:c>
      <x:c r="K36" s="75" t="str">
        <x:v>Approximate</x:v>
      </x:c>
      <x:c r="L36" s="75" t="str">
        <x:v>Residual model discrepancy</x:v>
      </x:c>
      <x:c r="M36" s="75" t="str">
        <x:v>Diffusion plus learned residual</x:v>
      </x:c>
      <x:c r="N36" s="75" t="str">
        <x:v>Soft likelihood</x:v>
      </x:c>
      <x:c r="O36" s="75" t="str">
        <x:v>Partial</x:v>
      </x:c>
      <x:c r="P36" s="75" t="str">
        <x:v>Partial</x:v>
      </x:c>
      <x:c r="Q36" s="75" t="str">
        <x:v>Partial</x:v>
      </x:c>
      <x:c r="R36" s="75" t="str">
        <x:v>No</x:v>
      </x:c>
      <x:c r="S36" s="75" t="str">
        <x:v>Yes</x:v>
      </x:c>
      <x:c r="T36" s="75" t="str">
        <x:v>Partial</x:v>
      </x:c>
      <x:c r="U36" s="75" t="str">
        <x:v>No</x:v>
      </x:c>
      <x:c r="V36" s="75" t="str">
        <x:v>No</x:v>
      </x:c>
      <x:c r="W36" s="75" t="str">
        <x:v>No</x:v>
      </x:c>
      <x:c r="X36" s="75" t="str">
        <x:v>No</x:v>
      </x:c>
      <x:c r="Y36" s="75" t="str">
        <x:v>Unknown</x:v>
      </x:c>
      <x:c r="Z36" s="75" t="str">
        <x:v>Abstract inspected; full-text pending</x:v>
      </x:c>
      <x:c r="AA36" s="75" t="str">
        <x:v>Pending formal eligibility</x:v>
      </x:c>
      <x:c r="AB36" s="75" t="str">
        <x:v>Yes</x:v>
      </x:c>
      <x:c r="AC36" s="75" t="str">
        <x:v>Learns measurement residual mismatch during diffusion inversion</x:v>
      </x:c>
      <x:c r="AD36" s="75" t="str">
        <x:v>No calibrated joint UQ, abstention or surveillance benchmark</x:v>
      </x:c>
      <x:c r="AE36" s="75" t="str">
        <x:v>https://doi.org/10.1117/12.3098133</x:v>
      </x:c>
      <x:c r="AF36" s="75" t="str">
        <x:v>Highest-priority mismatch competitor | AI pilot 2026-09-16: advance to full-text review; human pending. Basis: Authors' institutional abstract and complete proceedings metadata. Feature codes remain provisional. Can a flexible residual absorb noise or unsupported image detail? Extract identifiability constraints, optimization and held-out mismatch tests. Evidence: https://pure.kaist.ac.kr/en/publications/mitigating-forward-model-mismatch-in-inverse-problems-via-learned/</x:v>
      </x:c>
    </x:row>
    <x:row r="37" ht="176" customHeight="1">
      <x:c r="A37" s="85" t="str">
        <x:v>P036</x:v>
      </x:c>
      <x:c r="B37" s="86" t="n">
        <x:v>2026</x:v>
      </x:c>
      <x:c r="C37" s="75" t="str">
        <x:v>Yang &amp; Yuan</x:v>
      </x:c>
      <x:c r="D37" s="75" t="str">
        <x:v>InverseNet: Benchmarking Operator Mismatch and Calibration Across Compressive Imaging Modalities</x:v>
      </x:c>
      <x:c r="E37" s="75" t="str">
        <x:v>arXiv</x:v>
      </x:c>
      <x:c r="F37" s="75" t="str">
        <x:v>Preprint</x:v>
      </x:c>
      <x:c r="G37" s="75" t="str">
        <x:v>No</x:v>
      </x:c>
      <x:c r="H37" s="75" t="str">
        <x:v>CASSI/CACTI/single-pixel</x:v>
      </x:c>
      <x:c r="I37" s="75" t="str">
        <x:v>Compressive imaging</x:v>
      </x:c>
      <x:c r="J37" s="75" t="str">
        <x:v>Masks/calibration parameters</x:v>
      </x:c>
      <x:c r="K37" s="75" t="str">
        <x:v>Approximate</x:v>
      </x:c>
      <x:c r="L37" s="75" t="str">
        <x:v>Operator mismatch</x:v>
      </x:c>
      <x:c r="M37" s="75" t="str">
        <x:v>Benchmark</x:v>
      </x:c>
      <x:c r="N37" s="75" t="str">
        <x:v>Operator-conditioned comparison</x:v>
      </x:c>
      <x:c r="O37" s="75" t="str">
        <x:v>Partial</x:v>
      </x:c>
      <x:c r="P37" s="75" t="str">
        <x:v>No</x:v>
      </x:c>
      <x:c r="Q37" s="75" t="str">
        <x:v>No</x:v>
      </x:c>
      <x:c r="R37" s="75" t="str">
        <x:v>No</x:v>
      </x:c>
      <x:c r="S37" s="75" t="str">
        <x:v>Yes</x:v>
      </x:c>
      <x:c r="T37" s="75" t="str">
        <x:v>Partial</x:v>
      </x:c>
      <x:c r="U37" s="75" t="str">
        <x:v>Yes</x:v>
      </x:c>
      <x:c r="V37" s="75" t="str">
        <x:v>Yes</x:v>
      </x:c>
      <x:c r="W37" s="75" t="str">
        <x:v>No</x:v>
      </x:c>
      <x:c r="X37" s="75" t="str">
        <x:v>No</x:v>
      </x:c>
      <x:c r="Y37" s="75" t="str">
        <x:v>Planned</x:v>
      </x:c>
      <x:c r="Z37" s="75" t="str">
        <x:v>AI full-text eligibility assessed; selected features verified</x:v>
      </x:c>
      <x:c r="AA37" s="75" t="str">
        <x:v>Pending formal eligibility</x:v>
      </x:c>
      <x:c r="AB37" s="75" t="str">
        <x:v>Yes</x:v>
      </x:c>
      <x:c r="AC37" s="75" t="str">
        <x:v>Cross-modality mismatch benchmark with simulated and hardware data</x:v>
      </x:c>
      <x:c r="AD37" s="75" t="str">
        <x:v>No hallucination-aware joint UQ or surveillance compound degradation</x:v>
      </x:c>
      <x:c r="AE37" s="75" t="str">
        <x:v>https://arxiv.org/abs/2603.04538</x:v>
      </x:c>
      <x:c r="AF37" s="75" t="str">
        <x:v>Highest-priority benchmark competitor | AI pilot 2026-09-16: advance to full-text review; human pending. Basis: Author preprint abstract. Feature codes remain provisional. Inspect operator access, mismatch generation, data splits and released resources. Acquisition calibration must not be coded automatically as uncertainty calibration. Evidence: https://arxiv.org/abs/2603.04538 | AI full-text 2026-09-16: include; human pending. Verified fields: O, P, Q, R, S, T, U, V, X. Evidence/version/read extent: screening/full_text_02.json (P036). Unlisted feature codes remain provisional.</x:v>
      </x:c>
    </x:row>
    <x:row r="38" ht="176" customHeight="1">
      <x:c r="A38" s="85" t="str">
        <x:v>P037</x:v>
      </x:c>
      <x:c r="B38" s="86" t="n">
        <x:v>2026</x:v>
      </x:c>
      <x:c r="C38" s="75" t="str">
        <x:v>Iagaru et al.</x:v>
      </x:c>
      <x:c r="D38" s="75" t="str">
        <x:v>On Hallucinations in Inverse Problems: Fundamental Limits and Provable Assessment Methods</x:v>
      </x:c>
      <x:c r="E38" s="75" t="str">
        <x:v>arXiv</x:v>
      </x:c>
      <x:c r="F38" s="75" t="str">
        <x:v>Preprint</x:v>
      </x:c>
      <x:c r="G38" s="75" t="str">
        <x:v>No</x:v>
      </x:c>
      <x:c r="H38" s="75" t="str">
        <x:v>Multiple inverse tasks</x:v>
      </x:c>
      <x:c r="I38" s="75" t="str">
        <x:v>Theoretical/experimental</x:v>
      </x:c>
      <x:c r="J38" s="75" t="str">
        <x:v>General operator</x:v>
      </x:c>
      <x:c r="K38" s="75" t="str">
        <x:v>Known</x:v>
      </x:c>
      <x:c r="L38" s="75" t="str">
        <x:v>Ill-posedness</x:v>
      </x:c>
      <x:c r="M38" s="75" t="str">
        <x:v>Theory and assessment</x:v>
      </x:c>
      <x:c r="N38" s="75" t="str">
        <x:v>Operator analysis</x:v>
      </x:c>
      <x:c r="O38" s="75" t="str">
        <x:v>No</x:v>
      </x:c>
      <x:c r="P38" s="75" t="str">
        <x:v>No</x:v>
      </x:c>
      <x:c r="Q38" s="75" t="str">
        <x:v>No</x:v>
      </x:c>
      <x:c r="R38" s="75" t="str">
        <x:v>No</x:v>
      </x:c>
      <x:c r="S38" s="75" t="str">
        <x:v>Yes</x:v>
      </x:c>
      <x:c r="T38" s="75" t="str">
        <x:v>Partial</x:v>
      </x:c>
      <x:c r="U38" s="75" t="str">
        <x:v>No</x:v>
      </x:c>
      <x:c r="V38" s="75" t="str">
        <x:v>No</x:v>
      </x:c>
      <x:c r="W38" s="75" t="str">
        <x:v>Yes</x:v>
      </x:c>
      <x:c r="X38" s="75" t="str">
        <x:v>No</x:v>
      </x:c>
      <x:c r="Y38" s="75" t="str">
        <x:v>Unknown</x:v>
      </x:c>
      <x:c r="Z38" s="75" t="str">
        <x:v>AI full-text eligibility assessed; selected features verified</x:v>
      </x:c>
      <x:c r="AA38" s="75" t="str">
        <x:v>Pending formal eligibility</x:v>
      </x:c>
      <x:c r="AB38" s="75" t="str">
        <x:v>Yes</x:v>
      </x:c>
      <x:c r="AC38" s="75" t="str">
        <x:v>Computable lower bounds and input-level faithfulness assessment</x:v>
      </x:c>
      <x:c r="AD38" s="75" t="str">
        <x:v>Assessment component rather than complete reconstruction system</x:v>
      </x:c>
      <x:c r="AE38" s="75" t="str">
        <x:v>https://arxiv.org/abs/2605.13146</x:v>
      </x:c>
      <x:c r="AF38" s="75" t="str">
        <x:v>Critical novelty threat and component | AI pilot 2026-09-16: advance to full-text review; human pending. Basis: Author abstract and targeted full-text definitions, Remark 3.4, Proposition 3.5 and Algorithm 2. Feature codes remain provisional. What operational guarantee survives approximate sampling and an estimated acquisition model? The seed abstention code is not established by these inspected sections. Evidence: https://arxiv.org/html/2605.13146v1 | AI full-text 2026-09-16: include; human pending. Verified fields: O, Q, R, W, X. Evidence/version/read extent: screening/full_text_02.json (P037). Unlisted feature codes remain provisional.</x:v>
      </x:c>
    </x:row>
    <x:row r="39" ht="176" customHeight="1">
      <x:c r="A39" s="85" t="str">
        <x:v>P038</x:v>
      </x:c>
      <x:c r="B39" s="86" t="n">
        <x:v>2026</x:v>
      </x:c>
      <x:c r="C39" s="75" t="str">
        <x:v>Hu et al.</x:v>
      </x:c>
      <x:c r="D39" s="75" t="str">
        <x:v>PRISM: Probabilistic and Robust Inverse Solver with Measurement-Conditioned Diffusion Prior for Blind Inverse Problems</x:v>
      </x:c>
      <x:c r="E39" s="75" t="str">
        <x:v>ICASSP</x:v>
      </x:c>
      <x:c r="F39" s="75" t="str">
        <x:v>Conference</x:v>
      </x:c>
      <x:c r="G39" s="75" t="str">
        <x:v>Yes</x:v>
      </x:c>
      <x:c r="H39" s="75" t="str">
        <x:v>Blind deblurring</x:v>
      </x:c>
      <x:c r="I39" s="75" t="str">
        <x:v>Natural images</x:v>
      </x:c>
      <x:c r="J39" s="75" t="str">
        <x:v>Blur operator</x:v>
      </x:c>
      <x:c r="K39" s="75" t="str">
        <x:v>Unknown</x:v>
      </x:c>
      <x:c r="L39" s="75" t="str">
        <x:v>Unknown blur</x:v>
      </x:c>
      <x:c r="M39" s="75" t="str">
        <x:v>Measurement-conditioned joint diffusion posterior</x:v>
      </x:c>
      <x:c r="N39" s="75" t="str">
        <x:v>Soft likelihood</x:v>
      </x:c>
      <x:c r="O39" s="75" t="str">
        <x:v>Yes</x:v>
      </x:c>
      <x:c r="P39" s="75" t="str">
        <x:v>Yes</x:v>
      </x:c>
      <x:c r="Q39" s="75" t="str">
        <x:v>Yes</x:v>
      </x:c>
      <x:c r="R39" s="75" t="str">
        <x:v>Partial</x:v>
      </x:c>
      <x:c r="S39" s="75" t="str">
        <x:v>No</x:v>
      </x:c>
      <x:c r="T39" s="75" t="str">
        <x:v>No</x:v>
      </x:c>
      <x:c r="U39" s="75" t="str">
        <x:v>No</x:v>
      </x:c>
      <x:c r="V39" s="75" t="str">
        <x:v>No</x:v>
      </x:c>
      <x:c r="W39" s="75" t="str">
        <x:v>No</x:v>
      </x:c>
      <x:c r="X39" s="75" t="str">
        <x:v>No</x:v>
      </x:c>
      <x:c r="Y39" s="75" t="str">
        <x:v>Unknown</x:v>
      </x:c>
      <x:c r="Z39" s="75" t="str">
        <x:v>AI full-text eligibility assessed; selected features verified</x:v>
      </x:c>
      <x:c r="AA39" s="75" t="str">
        <x:v>Pending formal eligibility</x:v>
      </x:c>
      <x:c r="AB39" s="75" t="str">
        <x:v>Yes</x:v>
      </x:c>
      <x:c r="AC39" s="75" t="str">
        <x:v>Samples the joint image/kernel posterior and reports image credible intervals plus kernel uncertainty diagnostics</x:v>
      </x:c>
      <x:c r="AD39" s="75" t="str">
        <x:v>Joint image/operator uncertainty is occupied; evidence is limited to a small synthetic deblurring experiment without compound/device shift, support audit or abstention</x:v>
      </x:c>
      <x:c r="AE39" s="75" t="str">
        <x:v>https://doi.org/10.1109/ICASSP55912.2026.11462668</x:v>
      </x:c>
      <x:c r="AF39" s="75" t="str">
        <x:v>Top adversary; authors Yuanyun Hu, Evan Bell, Guijin Wang and Yu Sun | AI pilot 2026-09-16: advance to full-text review; human pending. Basis: Author preprint abstract and targeted full-text sections 2–3, Tables 1–3 and Figures 3–4; conference lineage retained. Feature codes remain provisional. Does the final conference report test interval reliability under unseen operator families? The inspected experiment establishes neither arbitrary-shift coverage nor a deployed selective-output mechanism. Evidence: https://arxiv.org/html/2509.16106v1 | AI full-text 2026-09-16: include; human pending. Verified fields: O, P, Q, R, S, T, W, X. Evidence/version/read extent: screening/full_text_01.json (P038). Unlisted feature codes remain provisional.</x:v>
      </x:c>
    </x:row>
    <x:row r="40" ht="176" customHeight="1">
      <x:c r="A40" s="85" t="str">
        <x:v>P039</x:v>
      </x:c>
      <x:c r="B40" s="86" t="n">
        <x:v>2026</x:v>
      </x:c>
      <x:c r="C40" s="75" t="str">
        <x:v>Serrano-Lozano et al.</x:v>
      </x:c>
      <x:c r="D40" s="75" t="str">
        <x:v>Adaptive Blind All-in-One Image Restoration</x:v>
      </x:c>
      <x:c r="E40" s="75" t="str">
        <x:v>CVIU</x:v>
      </x:c>
      <x:c r="F40" s="75" t="str">
        <x:v>Journal</x:v>
      </x:c>
      <x:c r="G40" s="75" t="str">
        <x:v>Yes</x:v>
      </x:c>
      <x:c r="H40" s="75" t="str">
        <x:v>All-in-one restoration</x:v>
      </x:c>
      <x:c r="I40" s="75" t="str">
        <x:v>Natural images</x:v>
      </x:c>
      <x:c r="J40" s="75" t="str">
        <x:v>Implicit corruption process</x:v>
      </x:c>
      <x:c r="K40" s="75" t="str">
        <x:v>Unknown</x:v>
      </x:c>
      <x:c r="L40" s="75" t="str">
        <x:v>Seen, unseen and composite degradation</x:v>
      </x:c>
      <x:c r="M40" s="75" t="str">
        <x:v>Adaptive low-rank experts</x:v>
      </x:c>
      <x:c r="N40" s="75" t="str">
        <x:v>Implicit</x:v>
      </x:c>
      <x:c r="O40" s="75" t="str">
        <x:v>No</x:v>
      </x:c>
      <x:c r="P40" s="75" t="str">
        <x:v>No</x:v>
      </x:c>
      <x:c r="Q40" s="75" t="str">
        <x:v>No</x:v>
      </x:c>
      <x:c r="R40" s="75" t="str">
        <x:v>No</x:v>
      </x:c>
      <x:c r="S40" s="75" t="str">
        <x:v>Yes</x:v>
      </x:c>
      <x:c r="T40" s="75" t="str">
        <x:v>Yes</x:v>
      </x:c>
      <x:c r="U40" s="75" t="str">
        <x:v>Yes</x:v>
      </x:c>
      <x:c r="V40" s="75" t="str">
        <x:v>No</x:v>
      </x:c>
      <x:c r="W40" s="75" t="str">
        <x:v>No</x:v>
      </x:c>
      <x:c r="X40" s="75" t="str">
        <x:v>No</x:v>
      </x:c>
      <x:c r="Y40" s="75" t="str">
        <x:v>Yes</x:v>
      </x:c>
      <x:c r="Z40" s="75" t="str">
        <x:v>AI full-text eligibility assessed; selected features verified</x:v>
      </x:c>
      <x:c r="AA40" s="75" t="str">
        <x:v>Pending formal eligibility</x:v>
      </x:c>
      <x:c r="AB40" s="75" t="str">
        <x:v>Yes</x:v>
      </x:c>
      <x:c r="AC40" s="75" t="str">
        <x:v>Adapts to unseen and composite degradations</x:v>
      </x:c>
      <x:c r="AD40" s="75" t="str">
        <x:v>Reliability, explicit physics and operator uncertainty remain separate</x:v>
      </x:c>
      <x:c r="AE40" s="75" t="str">
        <x:v>https://doi.org/10.1016/j.cviu.2026.104795</x:v>
      </x:c>
      <x:c r="AF40" s="75" t="str">
        <x:v>Recent all-in-one competitor | AI pilot 2026-09-16: advance to full-text review; human pending. Basis: Author preprint abstract and publisher journal metadata. Feature codes remain provisional. Which distortions are truly held out, and are uncertainty, temporal behavior or selective risk assessed? Composite/OOD restoration alone is an occupied direction. Evidence: https://arxiv.org/abs/2411.18412 | AI full-text 2026-09-16: include; human pending. Verified fields: O, P, Q, R, S, T, U, X. Evidence/version/read extent: screening/full_text_02.json (P039). Unlisted feature codes remain provisional.</x:v>
      </x:c>
    </x:row>
    <x:row r="41" ht="112" customHeight="1">
      <x:c r="A41" s="85" t="str">
        <x:v>P040</x:v>
      </x:c>
      <x:c r="B41" s="86" t="n">
        <x:v>2025</x:v>
      </x:c>
      <x:c r="C41" s="75" t="str">
        <x:v>Kwon et al.</x:v>
      </x:c>
      <x:c r="D41" s="75" t="str">
        <x:v>Video Diffusion Posterior Sampling for Seeing Beyond Dynamic Scattering Layers</x:v>
      </x:c>
      <x:c r="E41" s="75" t="str">
        <x:v>IEEE TPAMI</x:v>
      </x:c>
      <x:c r="F41" s="75" t="str">
        <x:v>Journal</x:v>
      </x:c>
      <x:c r="G41" s="75" t="str">
        <x:v>Yes</x:v>
      </x:c>
      <x:c r="H41" s="75" t="str">
        <x:v>Video inverse scattering/restoration</x:v>
      </x:c>
      <x:c r="I41" s="75" t="str">
        <x:v>Scientific and natural video</x:v>
      </x:c>
      <x:c r="J41" s="75" t="str">
        <x:v>Dynamic scattering and PSF models</x:v>
      </x:c>
      <x:c r="K41" s="75" t="str">
        <x:v>Approximate</x:v>
      </x:c>
      <x:c r="L41" s="75" t="str">
        <x:v>Unknown and time-varying degradation</x:v>
      </x:c>
      <x:c r="M41" s="75" t="str">
        <x:v>Video diffusion posterior sampling</x:v>
      </x:c>
      <x:c r="N41" s="75" t="str">
        <x:v>Soft likelihood/differentiable</x:v>
      </x:c>
      <x:c r="O41" s="75" t="str">
        <x:v>Yes</x:v>
      </x:c>
      <x:c r="P41" s="75" t="str">
        <x:v>Partial</x:v>
      </x:c>
      <x:c r="Q41" s="75" t="str">
        <x:v>Partial</x:v>
      </x:c>
      <x:c r="R41" s="75" t="str">
        <x:v>No</x:v>
      </x:c>
      <x:c r="S41" s="75" t="str">
        <x:v>Yes</x:v>
      </x:c>
      <x:c r="T41" s="75" t="str">
        <x:v>Yes</x:v>
      </x:c>
      <x:c r="U41" s="75" t="str">
        <x:v>Partial</x:v>
      </x:c>
      <x:c r="V41" s="75" t="str">
        <x:v>Yes</x:v>
      </x:c>
      <x:c r="W41" s="75" t="str">
        <x:v>No</x:v>
      </x:c>
      <x:c r="X41" s="75" t="str">
        <x:v>No</x:v>
      </x:c>
      <x:c r="Y41" s="75" t="str">
        <x:v>Yes</x:v>
      </x:c>
      <x:c r="Z41" s="75" t="str">
        <x:v>Abstract and repository inspected</x:v>
      </x:c>
      <x:c r="AA41" s="75" t="str">
        <x:v>Pending formal eligibility</x:v>
      </x:c>
      <x:c r="AB41" s="75" t="str">
        <x:v>Yes</x:v>
      </x:c>
      <x:c r="AC41" s="75" t="str">
        <x:v>Joint inference-time estimation of low-dimensional, time-varying forward parameters with a video diffusion prior</x:v>
      </x:c>
      <x:c r="AD41" s="75" t="str">
        <x:v>Very close on time-varying blind recovery; lacks calibrated joint uncertainty, evidential support assessment and abstention</x:v>
      </x:c>
      <x:c r="AE41" s="75" t="str">
        <x:v>https://doi.org/10.1109/TPAMI.2025.3598457</x:v>
      </x:c>
      <x:c r="AF41" s="75" t="str">
        <x:v>Critical nearest competitor; reproduce blind Zernike experiment in pilot | AI pilot 2026-09-16: advance to full-text review; human pending. Basis: Authors' institutional paper abstract and official repository experiment descriptions. Feature codes remain provisional. Inspect the final paper, uncertainty treatment, changing-PSF assumptions and real-capture validation. Video plus joint time-varying operator recovery alone cannot be claimed as new. Evidence: https://pure.kaist.ac.kr/en/publications/video-diffusion-posterior-sampling-for-seeing-beyond-dynamic-scat-2/</x:v>
      </x:c>
    </x:row>
    <x:row r="42" ht="176" customHeight="1">
      <x:c r="A42" s="85" t="str">
        <x:v>P041</x:v>
      </x:c>
      <x:c r="B42" s="86" t="n">
        <x:v>2025</x:v>
      </x:c>
      <x:c r="C42" s="75" t="str">
        <x:v>Romero et al.</x:v>
      </x:c>
      <x:c r="D42" s="75" t="str">
        <x:v>Uncertainty Quantification in HSI Reconstruction using Physics-Aware Diffusion Priors and Optics-Encoded Measurements</x:v>
      </x:c>
      <x:c r="E42" s="75" t="str">
        <x:v>arXiv</x:v>
      </x:c>
      <x:c r="F42" s="75" t="str">
        <x:v>Preprint</x:v>
      </x:c>
      <x:c r="G42" s="75" t="str">
        <x:v>No</x:v>
      </x:c>
      <x:c r="H42" s="75" t="str">
        <x:v>Hyperspectral reconstruction</x:v>
      </x:c>
      <x:c r="I42" s="75" t="str">
        <x:v>Scientific imaging</x:v>
      </x:c>
      <x:c r="J42" s="75" t="str">
        <x:v>Spectral projection/PSF/CASSI</x:v>
      </x:c>
      <x:c r="K42" s="75" t="str">
        <x:v>Known</x:v>
      </x:c>
      <x:c r="L42" s="75" t="str">
        <x:v>Null-space and measurement ambiguity</x:v>
      </x:c>
      <x:c r="M42" s="75" t="str">
        <x:v>Physics-aware diffusion posterior sampling</x:v>
      </x:c>
      <x:c r="N42" s="75" t="str">
        <x:v>Soft likelihood</x:v>
      </x:c>
      <x:c r="O42" s="75" t="str">
        <x:v>No</x:v>
      </x:c>
      <x:c r="P42" s="75" t="str">
        <x:v>Yes</x:v>
      </x:c>
      <x:c r="Q42" s="75" t="str">
        <x:v>No</x:v>
      </x:c>
      <x:c r="R42" s="75" t="str">
        <x:v>Yes</x:v>
      </x:c>
      <x:c r="S42" s="75" t="str">
        <x:v>Yes</x:v>
      </x:c>
      <x:c r="T42" s="75" t="str">
        <x:v>No</x:v>
      </x:c>
      <x:c r="U42" s="75" t="str">
        <x:v>No</x:v>
      </x:c>
      <x:c r="V42" s="75" t="str">
        <x:v>No</x:v>
      </x:c>
      <x:c r="W42" s="75" t="str">
        <x:v>Partial</x:v>
      </x:c>
      <x:c r="X42" s="75" t="str">
        <x:v>No</x:v>
      </x:c>
      <x:c r="Y42" s="75" t="str">
        <x:v>Unknown</x:v>
      </x:c>
      <x:c r="Z42" s="75" t="str">
        <x:v>AI full-text eligibility assessed; selected features verified</x:v>
      </x:c>
      <x:c r="AA42" s="75" t="str">
        <x:v>Pending formal eligibility</x:v>
      </x:c>
      <x:c r="AB42" s="75" t="str">
        <x:v>Yes</x:v>
      </x:c>
      <x:c r="AC42" s="75" t="str">
        <x:v>Calibrated pixel-wise posterior uncertainty and measurement-encoding analysis for HSI</x:v>
      </x:c>
      <x:c r="AD42" s="75" t="str">
        <x:v>Strong image-UQ and hallucination competitor; operator uncertainty, compound time variation and abstention remain open</x:v>
      </x:c>
      <x:c r="AE42" s="75" t="str">
        <x:v>https://arxiv.org/abs/2511.18473</x:v>
      </x:c>
      <x:c r="AF42" s="75" t="str">
        <x:v>Critical UQ competitor; verify publication lineage | AI pilot 2026-09-16: AI pilot: advance; human pending. Basis: Complete author preprint abstract. Feature codes remain provisional. Are the optical operators known, estimated or misspecified? Extract calibration units and tests beyond the trained optical family. Evidence: https://arxiv.org/abs/2511.18473 | AI full-text 2026-09-16: include; human pending. Verified fields: O, P, Q, R, S, T, W, X. Evidence/version/read extent: screening/full_text_03.json (P041). Unlisted feature codes remain provisional.</x:v>
      </x:c>
    </x:row>
    <x:row r="43" ht="176" customHeight="1">
      <x:c r="A43" s="85" t="str">
        <x:v>P042</x:v>
      </x:c>
      <x:c r="B43" s="86" t="n">
        <x:v>2026</x:v>
      </x:c>
      <x:c r="C43" s="75" t="str">
        <x:v>Katende</x:v>
      </x:c>
      <x:c r="D43" s="75" t="str">
        <x:v>No-Harm Physics-Informed Inverse Learning with Residual-Calibrated Uncertainty</x:v>
      </x:c>
      <x:c r="E43" s="75" t="str">
        <x:v>arXiv</x:v>
      </x:c>
      <x:c r="F43" s="75" t="str">
        <x:v>Preprint</x:v>
      </x:c>
      <x:c r="G43" s="75" t="str">
        <x:v>No</x:v>
      </x:c>
      <x:c r="H43" s="75" t="str">
        <x:v>PDE inverse problems/tomography</x:v>
      </x:c>
      <x:c r="I43" s="75" t="str">
        <x:v>Scientific imaging</x:v>
      </x:c>
      <x:c r="J43" s="75" t="str">
        <x:v>PDE and tomographic operators</x:v>
      </x:c>
      <x:c r="K43" s="75" t="str">
        <x:v>Known</x:v>
      </x:c>
      <x:c r="L43" s="75" t="str">
        <x:v>Shifted or unreliable learned reconstructions</x:v>
      </x:c>
      <x:c r="M43" s="75" t="str">
        <x:v>Certification and selective fallback</x:v>
      </x:c>
      <x:c r="N43" s="75" t="str">
        <x:v>Residual certificate</x:v>
      </x:c>
      <x:c r="O43" s="75" t="str">
        <x:v>No</x:v>
      </x:c>
      <x:c r="P43" s="75" t="str">
        <x:v>Yes</x:v>
      </x:c>
      <x:c r="Q43" s="75" t="str">
        <x:v>No</x:v>
      </x:c>
      <x:c r="R43" s="75" t="str">
        <x:v>Partial</x:v>
      </x:c>
      <x:c r="S43" s="75" t="str">
        <x:v>Partial</x:v>
      </x:c>
      <x:c r="T43" s="75" t="str">
        <x:v>No</x:v>
      </x:c>
      <x:c r="U43" s="75" t="str">
        <x:v>No</x:v>
      </x:c>
      <x:c r="V43" s="75" t="str">
        <x:v>No</x:v>
      </x:c>
      <x:c r="W43" s="75" t="str">
        <x:v>Partial</x:v>
      </x:c>
      <x:c r="X43" s="75" t="str">
        <x:v>Yes</x:v>
      </x:c>
      <x:c r="Y43" s="75" t="str">
        <x:v>Unknown</x:v>
      </x:c>
      <x:c r="Z43" s="75" t="str">
        <x:v>AI full-text eligibility assessed; selected features verified</x:v>
      </x:c>
      <x:c r="AA43" s="75" t="str">
        <x:v>Pending formal eligibility</x:v>
      </x:c>
      <x:c r="AB43" s="75" t="str">
        <x:v>Yes</x:v>
      </x:c>
      <x:c r="AC43" s="75" t="str">
        <x:v>Accepts learned reconstructions only when residual-calibrated radius is no worse than a baseline</x:v>
      </x:c>
      <x:c r="AD43" s="75" t="str">
        <x:v>Occupies no-harm selection, but assumes certifiable known physics and does not jointly infer compound image operators</x:v>
      </x:c>
      <x:c r="AE43" s="75" t="str">
        <x:v>https://arxiv.org/abs/2606.07153</x:v>
      </x:c>
      <x:c r="AF43" s="75" t="str">
        <x:v>Critical abstention threat; preprint credibility and proofs require full review | AI pilot 2026-09-16: AI pilot: advance; human pending. Basis: Author preprint abstract and targeted discussion/limitations, sections 9–10. Feature codes remain provisional. Verify the stability constants, admissible class and operational radius. Certificate dominance does not imply lower actual error than the baseline; test whether the guarantee survives an uncertain or misspecified observation operator. Evidence: https://arxiv.org/html/2606.07153v1 | AI full-text 2026-09-16: include; human pending. Verified fields: P, Q, R, S, T, W, X. Evidence/version/read extent: screening/full_text_01.json (P042). Unlisted feature codes remain provisional.</x:v>
      </x:c>
    </x:row>
    <x:row r="44" ht="176" customHeight="1">
      <x:c r="A44" s="85" t="str">
        <x:v>P043</x:v>
      </x:c>
      <x:c r="B44" s="86" t="n">
        <x:v>2021</x:v>
      </x:c>
      <x:c r="C44" s="75" t="str">
        <x:v>Gilton et al.</x:v>
      </x:c>
      <x:c r="D44" s="75" t="str">
        <x:v>Model Adaptation for Inverse Problems in Imaging</x:v>
      </x:c>
      <x:c r="E44" s="75" t="str">
        <x:v>IEEE TCI</x:v>
      </x:c>
      <x:c r="F44" s="75" t="str">
        <x:v>Journal</x:v>
      </x:c>
      <x:c r="G44" s="75" t="str">
        <x:v>Yes</x:v>
      </x:c>
      <x:c r="H44" s="75" t="str">
        <x:v>Deblurring/SR/MRI</x:v>
      </x:c>
      <x:c r="I44" s="75" t="str">
        <x:v>Computational imaging</x:v>
      </x:c>
      <x:c r="J44" s="75" t="str">
        <x:v>Linear operators under deployment drift</x:v>
      </x:c>
      <x:c r="K44" s="75" t="str">
        <x:v>Approximate</x:v>
      </x:c>
      <x:c r="L44" s="75" t="str">
        <x:v>Static low-dimensional operator drift</x:v>
      </x:c>
      <x:c r="M44" s="75" t="str">
        <x:v>Label-free test-time model adaptation</x:v>
      </x:c>
      <x:c r="N44" s="75" t="str">
        <x:v>PnP/conditioning correction</x:v>
      </x:c>
      <x:c r="O44" s="75" t="str">
        <x:v>Partial</x:v>
      </x:c>
      <x:c r="P44" s="75" t="str">
        <x:v>No</x:v>
      </x:c>
      <x:c r="Q44" s="75" t="str">
        <x:v>No</x:v>
      </x:c>
      <x:c r="R44" s="75" t="str">
        <x:v>No</x:v>
      </x:c>
      <x:c r="S44" s="75" t="str">
        <x:v>Yes</x:v>
      </x:c>
      <x:c r="T44" s="75" t="str">
        <x:v>Partial</x:v>
      </x:c>
      <x:c r="U44" s="75" t="str">
        <x:v>No</x:v>
      </x:c>
      <x:c r="V44" s="75" t="str">
        <x:v>No</x:v>
      </x:c>
      <x:c r="W44" s="75" t="str">
        <x:v>No</x:v>
      </x:c>
      <x:c r="X44" s="75" t="str">
        <x:v>No</x:v>
      </x:c>
      <x:c r="Y44" s="75" t="str">
        <x:v>Unknown</x:v>
      </x:c>
      <x:c r="Z44" s="75" t="str">
        <x:v>Abstract inspected; full-text pending</x:v>
      </x:c>
      <x:c r="AA44" s="75" t="str">
        <x:v>Pending formal eligibility</x:v>
      </x:c>
      <x:c r="AB44" s="75" t="str">
        <x:v>Yes</x:v>
      </x:c>
      <x:c r="AC44" s="75" t="str">
        <x:v>Adapts pretrained reconstruction networks to changed forward operators without ground-truth labels</x:v>
      </x:c>
      <x:c r="AD44" s="75" t="str">
        <x:v>Point estimates for bounded static changes; no compound temporal chain, calibrated dual UQ, support test or abstention</x:v>
      </x:c>
      <x:c r="AE44" s="75" t="str">
        <x:v>https://doi.org/10.1109/TCI.2021.3094714</x:v>
      </x:c>
      <x:c r="AF44" s="75" t="str">
        <x:v>Operator-adaptation cornerstone | AI pilot 2026-09-16: AI pilot: advance; human pending. Basis: Complete author preprint abstract; existing journal citation retained. Feature codes remain provisional. Which operator changes are supplied to the method, which are inferred, and how are adaptation data separated from evaluation? Evidence: https://arxiv.org/abs/2012.00139</x:v>
      </x:c>
    </x:row>
    <x:row r="45" ht="176" customHeight="1">
      <x:c r="A45" s="85" t="str">
        <x:v>P044</x:v>
      </x:c>
      <x:c r="B45" s="86" t="n">
        <x:v>2021</x:v>
      </x:c>
      <x:c r="C45" s="75" t="str">
        <x:v>Rego et al.</x:v>
      </x:c>
      <x:c r="D45" s="75" t="str">
        <x:v>Robust Lensless Image Reconstruction via PSF Estimation</x:v>
      </x:c>
      <x:c r="E45" s="75" t="str">
        <x:v>WACV</x:v>
      </x:c>
      <x:c r="F45" s="75" t="str">
        <x:v>Conference</x:v>
      </x:c>
      <x:c r="G45" s="75" t="str">
        <x:v>Yes</x:v>
      </x:c>
      <x:c r="H45" s="75" t="str">
        <x:v>Lensless imaging</x:v>
      </x:c>
      <x:c r="I45" s="75" t="str">
        <x:v>Physical computational imaging</x:v>
      </x:c>
      <x:c r="J45" s="75" t="str">
        <x:v>Diffuser PSF</x:v>
      </x:c>
      <x:c r="K45" s="75" t="str">
        <x:v>Unknown</x:v>
      </x:c>
      <x:c r="L45" s="75" t="str">
        <x:v>Unknown test-time PSF</x:v>
      </x:c>
      <x:c r="M45" s="75" t="str">
        <x:v>Dual-network joint PSF/image recovery</x:v>
      </x:c>
      <x:c r="N45" s="75" t="str">
        <x:v>Hard/forward consistency</x:v>
      </x:c>
      <x:c r="O45" s="75" t="str">
        <x:v>Yes</x:v>
      </x:c>
      <x:c r="P45" s="75" t="str">
        <x:v>No</x:v>
      </x:c>
      <x:c r="Q45" s="75" t="str">
        <x:v>No</x:v>
      </x:c>
      <x:c r="R45" s="75" t="str">
        <x:v>No</x:v>
      </x:c>
      <x:c r="S45" s="75" t="str">
        <x:v>Yes</x:v>
      </x:c>
      <x:c r="T45" s="75" t="str">
        <x:v>Yes</x:v>
      </x:c>
      <x:c r="U45" s="75" t="str">
        <x:v>No</x:v>
      </x:c>
      <x:c r="V45" s="75" t="str">
        <x:v>No</x:v>
      </x:c>
      <x:c r="W45" s="75" t="str">
        <x:v>No</x:v>
      </x:c>
      <x:c r="X45" s="75" t="str">
        <x:v>No</x:v>
      </x:c>
      <x:c r="Y45" s="75" t="str">
        <x:v>Unknown</x:v>
      </x:c>
      <x:c r="Z45" s="75" t="str">
        <x:v>Abstract inspected; full-text pending</x:v>
      </x:c>
      <x:c r="AA45" s="75" t="str">
        <x:v>Pending formal eligibility</x:v>
      </x:c>
      <x:c r="AB45" s="75" t="str">
        <x:v>Yes</x:v>
      </x:c>
      <x:c r="AC45" s="75" t="str">
        <x:v>Jointly estimates PSF and image on a custom diffuser camera with multiple real PSFs</x:v>
      </x:c>
      <x:c r="AD45" s="75" t="str">
        <x:v>Requires supervised PSF ground truth and lacks calibrated dual uncertainty, support analysis and abstention</x:v>
      </x:c>
      <x:c r="AE45" s="75" t="str">
        <x:v>https://doi.org/10.1109/WACV48630.2021.00045</x:v>
      </x:c>
      <x:c r="AF45" s="75" t="str">
        <x:v>Important real-hardware joint-estimation precedent | AI pilot 2026-09-16: AI pilot: advance; human pending. Basis: Complete institutional publication abstract and DOI metadata. Feature codes remain provisional. Are evaluated cameras or PSF families genuinely held out, and is uncertainty propagated beyond a point PSF estimate? Evidence: https://asu.elsevierpure.com/en/publications/robust-lensless-image-reconstruction-via-psf-estimation/</x:v>
      </x:c>
    </x:row>
    <x:row r="46" ht="176" customHeight="1">
      <x:c r="A46" s="85" t="str">
        <x:v>P045</x:v>
      </x:c>
      <x:c r="B46" s="86" t="n">
        <x:v>2023</x:v>
      </x:c>
      <x:c r="C46" s="75" t="str">
        <x:v>Gan et al.</x:v>
      </x:c>
      <x:c r="D46" s="75" t="str">
        <x:v>Block Coordinate Plug-and-Play Methods for Blind Inverse Problems</x:v>
      </x:c>
      <x:c r="E46" s="75" t="str">
        <x:v>NeurIPS</x:v>
      </x:c>
      <x:c r="F46" s="75" t="str">
        <x:v>Conference</x:v>
      </x:c>
      <x:c r="G46" s="75" t="str">
        <x:v>Yes</x:v>
      </x:c>
      <x:c r="H46" s="75" t="str">
        <x:v>Blind deblurring/parallel MRI</x:v>
      </x:c>
      <x:c r="I46" s="75" t="str">
        <x:v>Computational imaging</x:v>
      </x:c>
      <x:c r="J46" s="75" t="str">
        <x:v>Structured blur and coil-sensitivity operators</x:v>
      </x:c>
      <x:c r="K46" s="75" t="str">
        <x:v>Unknown</x:v>
      </x:c>
      <x:c r="L46" s="75" t="str">
        <x:v>Unknown structured operator parameters</x:v>
      </x:c>
      <x:c r="M46" s="75" t="str">
        <x:v>Block-coordinate plug-and-play</x:v>
      </x:c>
      <x:c r="N46" s="75" t="str">
        <x:v>Hard/iterative</x:v>
      </x:c>
      <x:c r="O46" s="75" t="str">
        <x:v>Yes</x:v>
      </x:c>
      <x:c r="P46" s="75" t="str">
        <x:v>No</x:v>
      </x:c>
      <x:c r="Q46" s="75" t="str">
        <x:v>No</x:v>
      </x:c>
      <x:c r="R46" s="75" t="str">
        <x:v>No</x:v>
      </x:c>
      <x:c r="S46" s="75" t="str">
        <x:v>Yes</x:v>
      </x:c>
      <x:c r="T46" s="75" t="str">
        <x:v>Partial</x:v>
      </x:c>
      <x:c r="U46" s="75" t="str">
        <x:v>No</x:v>
      </x:c>
      <x:c r="V46" s="75" t="str">
        <x:v>No</x:v>
      </x:c>
      <x:c r="W46" s="75" t="str">
        <x:v>No</x:v>
      </x:c>
      <x:c r="X46" s="75" t="str">
        <x:v>No</x:v>
      </x:c>
      <x:c r="Y46" s="75" t="str">
        <x:v>Unknown</x:v>
      </x:c>
      <x:c r="Z46" s="75" t="str">
        <x:v>AI full-text eligibility assessed; selected features verified</x:v>
      </x:c>
      <x:c r="AA46" s="75" t="str">
        <x:v>Pending formal eligibility</x:v>
      </x:c>
      <x:c r="AB46" s="75" t="str">
        <x:v>Yes</x:v>
      </x:c>
      <x:c r="AC46" s="75" t="str">
        <x:v>Joint image/operator point estimation with separate learned priors and convergence theory</x:v>
      </x:c>
      <x:c r="AD46" s="75" t="str">
        <x:v>No calibrated posterior, compound/time-varying chain, support audit or abstention</x:v>
      </x:c>
      <x:c r="AE46" s="75" t="str">
        <x:v>https://proceedings.neurips.cc/paper_files/paper/2023/hash/f810c2ba07bae78dfe9d25c5d40c5536-Abstract-Conference.html</x:v>
      </x:c>
      <x:c r="AF46" s="75" t="str">
        <x:v>Nearest principled PnP competitor | AI pilot 2026-09-16: AI pilot: advance; human pending. Basis: Complete official NeurIPS proceedings abstract. Feature codes remain provisional. Extract the convergence assumptions and distinguish stationary-point analysis from statistical operator uncertainty or robustness to an incorrect operator family. Evidence: https://proceedings.neurips.cc/paper_files/paper/2023/hash/f810c2ba07bae78dfe9d25c5d40c5536-Abstract-Conference.html | AI full-text 2026-09-16: include; human pending. Verified fields: O, P, Q, R, T, X. Evidence/version/read extent: screening/full_text_02.json (P045). Unlisted feature codes remain provisional.</x:v>
      </x:c>
    </x:row>
    <x:row r="47" ht="176" customHeight="1">
      <x:c r="A47" s="85" t="str">
        <x:v>P046</x:v>
      </x:c>
      <x:c r="B47" s="86" t="n">
        <x:v>2024</x:v>
      </x:c>
      <x:c r="C47" s="75" t="str">
        <x:v>Gossard &amp; Weiss</x:v>
      </x:c>
      <x:c r="D47" s="75" t="str">
        <x:v>Training Adaptive Reconstruction Networks for Blind Inverse Problems</x:v>
      </x:c>
      <x:c r="E47" s="75" t="str">
        <x:v>SIAM Journal on Imaging Sciences</x:v>
      </x:c>
      <x:c r="F47" s="75" t="str">
        <x:v>Journal</x:v>
      </x:c>
      <x:c r="G47" s="75" t="str">
        <x:v>Yes</x:v>
      </x:c>
      <x:c r="H47" s="75" t="str">
        <x:v>MRI/CT/Fresnel deblurring</x:v>
      </x:c>
      <x:c r="I47" s="75" t="str">
        <x:v>Scientific imaging</x:v>
      </x:c>
      <x:c r="J47" s="75" t="str">
        <x:v>Known parameterized operator families</x:v>
      </x:c>
      <x:c r="K47" s="75" t="str">
        <x:v>Unknown</x:v>
      </x:c>
      <x:c r="L47" s="75" t="str">
        <x:v>Operator-family variation</x:v>
      </x:c>
      <x:c r="M47" s="75" t="str">
        <x:v>Adaptive unrolled reconstruction</x:v>
      </x:c>
      <x:c r="N47" s="75" t="str">
        <x:v>Hard/iterative</x:v>
      </x:c>
      <x:c r="O47" s="75" t="str">
        <x:v>Partial</x:v>
      </x:c>
      <x:c r="P47" s="75" t="str">
        <x:v>No</x:v>
      </x:c>
      <x:c r="Q47" s="75" t="str">
        <x:v>No</x:v>
      </x:c>
      <x:c r="R47" s="75" t="str">
        <x:v>No</x:v>
      </x:c>
      <x:c r="S47" s="75" t="str">
        <x:v>Yes</x:v>
      </x:c>
      <x:c r="T47" s="75" t="str">
        <x:v>Partial</x:v>
      </x:c>
      <x:c r="U47" s="75" t="str">
        <x:v>No</x:v>
      </x:c>
      <x:c r="V47" s="75" t="str">
        <x:v>No</x:v>
      </x:c>
      <x:c r="W47" s="75" t="str">
        <x:v>No</x:v>
      </x:c>
      <x:c r="X47" s="75" t="str">
        <x:v>No</x:v>
      </x:c>
      <x:c r="Y47" s="75" t="str">
        <x:v>Unknown</x:v>
      </x:c>
      <x:c r="Z47" s="75" t="str">
        <x:v>Abstract inspected; full-text pending</x:v>
      </x:c>
      <x:c r="AA47" s="75" t="str">
        <x:v>Pending formal eligibility</x:v>
      </x:c>
      <x:c r="AB47" s="75" t="str">
        <x:v>Yes</x:v>
      </x:c>
      <x:c r="AC47" s="75" t="str">
        <x:v>Trains across operator families for adaptation and self-calibration</x:v>
      </x:c>
      <x:c r="AD47" s="75" t="str">
        <x:v>Bounded known families; no compound temporal chain, calibrated dual UQ, support audit or abstention</x:v>
      </x:c>
      <x:c r="AE47" s="75" t="str">
        <x:v>https://doi.org/10.1137/23M1545628</x:v>
      </x:c>
      <x:c r="AF47" s="75" t="str">
        <x:v>Strong adaptive-reconstruction comparator | AI pilot 2026-09-16: AI pilot: advance; human pending. Basis: Complete author preprint abstract and SIAM citation. Feature codes remain provisional. Separate interpolation within the training operator family from extrapolation or wrong-family mismatch. The 2022 preprint and 2024 journal record are one lineage. Evidence: https://arxiv.org/abs/2202.11342</x:v>
      </x:c>
    </x:row>
    <x:row r="48" ht="176" customHeight="1">
      <x:c r="A48" s="85" t="str">
        <x:v>P047</x:v>
      </x:c>
      <x:c r="B48" s="86" t="n">
        <x:v>2024</x:v>
      </x:c>
      <x:c r="C48" s="75" t="str">
        <x:v>Guan et al.</x:v>
      </x:c>
      <x:c r="D48" s="75" t="str">
        <x:v>Solving Inverse Problems with Model Mismatch using Untrained Neural Networks within Model-based Architectures</x:v>
      </x:c>
      <x:c r="E48" s="75" t="str">
        <x:v>TMLR</x:v>
      </x:c>
      <x:c r="F48" s="75" t="str">
        <x:v>Journal</x:v>
      </x:c>
      <x:c r="G48" s="75" t="str">
        <x:v>Yes</x:v>
      </x:c>
      <x:c r="H48" s="75" t="str">
        <x:v>Deblurring/seismic/defogging</x:v>
      </x:c>
      <x:c r="I48" s="75" t="str">
        <x:v>Cross-domain inverse problems</x:v>
      </x:c>
      <x:c r="J48" s="75" t="str">
        <x:v>Approximate differentiable operators</x:v>
      </x:c>
      <x:c r="K48" s="75" t="str">
        <x:v>Approximate</x:v>
      </x:c>
      <x:c r="L48" s="75" t="str">
        <x:v>Residual forward-model mismatch</x:v>
      </x:c>
      <x:c r="M48" s="75" t="str">
        <x:v>Untrained residual corrector in unrolled/DEQ solver</x:v>
      </x:c>
      <x:c r="N48" s="75" t="str">
        <x:v>Hard/differentiable</x:v>
      </x:c>
      <x:c r="O48" s="75" t="str">
        <x:v>Yes</x:v>
      </x:c>
      <x:c r="P48" s="75" t="str">
        <x:v>No</x:v>
      </x:c>
      <x:c r="Q48" s="75" t="str">
        <x:v>No</x:v>
      </x:c>
      <x:c r="R48" s="75" t="str">
        <x:v>No</x:v>
      </x:c>
      <x:c r="S48" s="75" t="str">
        <x:v>Partial</x:v>
      </x:c>
      <x:c r="T48" s="75" t="str">
        <x:v>Partial</x:v>
      </x:c>
      <x:c r="U48" s="75" t="str">
        <x:v>Partial</x:v>
      </x:c>
      <x:c r="V48" s="75" t="str">
        <x:v>No</x:v>
      </x:c>
      <x:c r="W48" s="75" t="str">
        <x:v>No</x:v>
      </x:c>
      <x:c r="X48" s="75" t="str">
        <x:v>No</x:v>
      </x:c>
      <x:c r="Y48" s="75" t="str">
        <x:v>Unknown</x:v>
      </x:c>
      <x:c r="Z48" s="75" t="str">
        <x:v>AI full-text eligibility assessed; selected features verified</x:v>
      </x:c>
      <x:c r="AA48" s="75" t="str">
        <x:v>Pending formal eligibility</x:v>
      </x:c>
      <x:c r="AB48" s="75" t="str">
        <x:v>Yes</x:v>
      </x:c>
      <x:c r="AC48" s="75" t="str">
        <x:v>Jointly fits an instance-specific forward residual and reconstruction inside model-based architectures</x:v>
      </x:c>
      <x:c r="AD48" s="75" t="str">
        <x:v>Deterministic per-instance correction without calibrated posterior, temporal compounds, failure detection or abstention</x:v>
      </x:c>
      <x:c r="AE48" s="75" t="str">
        <x:v>https://openreview.net/forum?id=XHEhjDxPDl</x:v>
      </x:c>
      <x:c r="AF48" s="75" t="str">
        <x:v>General mismatch-correction competitor | AI pilot 2026-09-16: AI pilot: advance; human pending. Basis: Complete author preprint abstract; OpenReview access challenged. Feature codes remain provisional. What prevents the correction from absorbing image structure or measurement noise, and which mismatch families and convergence assumptions are tested? Evidence: https://arxiv.org/abs/2403.04847 | AI full-text 2026-09-16: include; human pending. Verified fields: O, P, Q, R, S, X. Evidence/version/read extent: screening/full_text_02.json (P047). Unlisted feature codes remain provisional.</x:v>
      </x:c>
    </x:row>
    <x:row r="49" ht="176" customHeight="1">
      <x:c r="A49" s="85" t="str">
        <x:v>P048</x:v>
      </x:c>
      <x:c r="B49" s="86" t="n">
        <x:v>2024</x:v>
      </x:c>
      <x:c r="C49" s="75" t="str">
        <x:v>Renaud et al.</x:v>
      </x:c>
      <x:c r="D49" s="75" t="str">
        <x:v>Plug-and-Play Posterior Sampling under Mismatched Measurement and Prior Models</x:v>
      </x:c>
      <x:c r="E49" s="75" t="str">
        <x:v>ICLR</x:v>
      </x:c>
      <x:c r="F49" s="75" t="str">
        <x:v>Conference</x:v>
      </x:c>
      <x:c r="G49" s="75" t="str">
        <x:v>Yes</x:v>
      </x:c>
      <x:c r="H49" s="75" t="str">
        <x:v>Deblurring/generic inverse problems</x:v>
      </x:c>
      <x:c r="I49" s="75" t="str">
        <x:v>Theoretical and natural images</x:v>
      </x:c>
      <x:c r="J49" s="75" t="str">
        <x:v>Misspecified likelihood and prior</x:v>
      </x:c>
      <x:c r="K49" s="75" t="str">
        <x:v>Approximate</x:v>
      </x:c>
      <x:c r="L49" s="75" t="str">
        <x:v>Measurement and prior mismatch</x:v>
      </x:c>
      <x:c r="M49" s="75" t="str">
        <x:v>PnP posterior sampling with error bounds</x:v>
      </x:c>
      <x:c r="N49" s="75" t="str">
        <x:v>Soft likelihood</x:v>
      </x:c>
      <x:c r="O49" s="75" t="str">
        <x:v>No</x:v>
      </x:c>
      <x:c r="P49" s="75" t="str">
        <x:v>Yes</x:v>
      </x:c>
      <x:c r="Q49" s="75" t="str">
        <x:v>No</x:v>
      </x:c>
      <x:c r="R49" s="75" t="str">
        <x:v>No</x:v>
      </x:c>
      <x:c r="S49" s="75" t="str">
        <x:v>Partial</x:v>
      </x:c>
      <x:c r="T49" s="75" t="str">
        <x:v>No</x:v>
      </x:c>
      <x:c r="U49" s="75" t="str">
        <x:v>No</x:v>
      </x:c>
      <x:c r="V49" s="75" t="str">
        <x:v>No</x:v>
      </x:c>
      <x:c r="W49" s="75" t="str">
        <x:v>No</x:v>
      </x:c>
      <x:c r="X49" s="75" t="str">
        <x:v>No</x:v>
      </x:c>
      <x:c r="Y49" s="75" t="str">
        <x:v>Unknown</x:v>
      </x:c>
      <x:c r="Z49" s="75" t="str">
        <x:v>AI full-text eligibility assessed; selected features verified</x:v>
      </x:c>
      <x:c r="AA49" s="75" t="str">
        <x:v>Pending formal eligibility</x:v>
      </x:c>
      <x:c r="AB49" s="75" t="str">
        <x:v>Yes</x:v>
      </x:c>
      <x:c r="AC49" s="75" t="str">
        <x:v>Bounds posterior sensitivity to mismatched measurement and prior models</x:v>
      </x:c>
      <x:c r="AD49" s="75" t="str">
        <x:v>Does not infer the operator or test empirical dual calibration, compound capture or selective refusal</x:v>
      </x:c>
      <x:c r="AE49" s="75" t="str">
        <x:v>https://proceedings.iclr.cc/paper_files/paper/2024/hash/2a2874875861f6a6436b505dd77683d1-Abstract-Conference.html</x:v>
      </x:c>
      <x:c r="AF49" s="75" t="str">
        <x:v>Core posterior-mismatch theory | AI pilot 2026-09-16: AI pilot: advance; human pending. Basis: Complete official ICLR proceedings abstract. Feature codes remain provisional. Which model assumptions support the posterior-distance bound? Does it imply calibrated intervals or selective-output reliability under structured acquisition mismatch? Evidence: https://proceedings.iclr.cc/paper_files/paper/2024/hash/2a2874875861f6a6436b505dd77683d1-Abstract-Conference.html | AI full-text 2026-09-16: include; human pending. Verified fields: O, P, Q, R, S, T, X. Evidence/version/read extent: screening/full_text_01.json (P048). Unlisted feature codes remain provisional.</x:v>
      </x:c>
    </x:row>
    <x:row r="50" ht="176" customHeight="1">
      <x:c r="A50" s="85" t="str">
        <x:v>P049</x:v>
      </x:c>
      <x:c r="B50" s="86" t="n">
        <x:v>2024</x:v>
      </x:c>
      <x:c r="C50" s="75" t="str">
        <x:v>Nguyen et al.</x:v>
      </x:c>
      <x:c r="D50" s="75" t="str">
        <x:v>DeepVibes: Correcting Micro-Vibrations in Satellite Imaging With Pushbroom Cameras</x:v>
      </x:c>
      <x:c r="E50" s="75" t="str">
        <x:v>IEEE TGRS</x:v>
      </x:c>
      <x:c r="F50" s="75" t="str">
        <x:v>Journal</x:v>
      </x:c>
      <x:c r="G50" s="75" t="str">
        <x:v>Yes</x:v>
      </x:c>
      <x:c r="H50" s="75" t="str">
        <x:v>Pushbroom satellite imaging</x:v>
      </x:c>
      <x:c r="I50" s="75" t="str">
        <x:v>Remote sensing</x:v>
      </x:c>
      <x:c r="J50" s="75" t="str">
        <x:v>Time-varying attitude/micro-vibration model</x:v>
      </x:c>
      <x:c r="K50" s="75" t="str">
        <x:v>Unknown</x:v>
      </x:c>
      <x:c r="L50" s="75" t="str">
        <x:v>Time-varying physical operator</x:v>
      </x:c>
      <x:c r="M50" s="75" t="str">
        <x:v>Attitude estimator plus deep unrolling</x:v>
      </x:c>
      <x:c r="N50" s="75" t="str">
        <x:v>Hard/differentiable</x:v>
      </x:c>
      <x:c r="O50" s="75" t="str">
        <x:v>Yes</x:v>
      </x:c>
      <x:c r="P50" s="75" t="str">
        <x:v>No</x:v>
      </x:c>
      <x:c r="Q50" s="75" t="str">
        <x:v>No</x:v>
      </x:c>
      <x:c r="R50" s="75" t="str">
        <x:v>No</x:v>
      </x:c>
      <x:c r="S50" s="75" t="str">
        <x:v>Yes</x:v>
      </x:c>
      <x:c r="T50" s="75" t="str">
        <x:v>Yes</x:v>
      </x:c>
      <x:c r="U50" s="75" t="str">
        <x:v>No</x:v>
      </x:c>
      <x:c r="V50" s="75" t="str">
        <x:v>Yes</x:v>
      </x:c>
      <x:c r="W50" s="75" t="str">
        <x:v>No</x:v>
      </x:c>
      <x:c r="X50" s="75" t="str">
        <x:v>No</x:v>
      </x:c>
      <x:c r="Y50" s="75" t="str">
        <x:v>Unknown</x:v>
      </x:c>
      <x:c r="Z50" s="75" t="str">
        <x:v>Incomplete evidence; retrieval pending</x:v>
      </x:c>
      <x:c r="AA50" s="75" t="str">
        <x:v>Pending formal eligibility</x:v>
      </x:c>
      <x:c r="AB50" s="75" t="str">
        <x:v>Yes</x:v>
      </x:c>
      <x:c r="AC50" s="75" t="str">
        <x:v>Estimates a time-varying physical operator and restores synthetic and real satellite images</x:v>
      </x:c>
      <x:c r="AD50" s="75" t="str">
        <x:v>Specialized geometry; no compound camera/codec mismatch, calibrated dual UQ, support audit or abstention</x:v>
      </x:c>
      <x:c r="AE50" s="75" t="str">
        <x:v>https://doi.org/10.1109/TGRS.2024.3415372</x:v>
      </x:c>
      <x:c r="AF50" s="75" t="str">
        <x:v>Occupies broad time-varying operator claim | AI pilot 2026-09-16: AI pilot: advance; human pending. Basis: Publisher-indexed title and abstract excerpt; IEEE PDF retrieval failed and HAL challenged. Feature codes remain provisional. Retrieve the full text to verify the physical parameterization, motion identification, synthetic versus real evidence and any uncertainty analysis. Evidence: https://ieeexplore.ieee.org/document/10559627/</x:v>
      </x:c>
    </x:row>
    <x:row r="51" ht="176" customHeight="1">
      <x:c r="A51" s="85" t="str">
        <x:v>P050</x:v>
      </x:c>
      <x:c r="B51" s="86" t="n">
        <x:v>2025</x:v>
      </x:c>
      <x:c r="C51" s="75" t="str">
        <x:v>Dontas et al.</x:v>
      </x:c>
      <x:c r="D51" s="75" t="str">
        <x:v>Blind Inverse Problem Solving Made Easy by Text-to-Image Latent Diffusion</x:v>
      </x:c>
      <x:c r="E51" s="75" t="str">
        <x:v>SPIGM at NeurIPS 2025 (workshop)</x:v>
      </x:c>
      <x:c r="F51" s="75" t="str">
        <x:v>Conference</x:v>
      </x:c>
      <x:c r="G51" s="75" t="str">
        <x:v>Yes</x:v>
      </x:c>
      <x:c r="H51" s="75" t="str">
        <x:v>General blind image restoration</x:v>
      </x:c>
      <x:c r="I51" s="75" t="str">
        <x:v>Natural images</x:v>
      </x:c>
      <x:c r="J51" s="75" t="str">
        <x:v>Linear and nonlinear operators</x:v>
      </x:c>
      <x:c r="K51" s="75" t="str">
        <x:v>Unknown</x:v>
      </x:c>
      <x:c r="L51" s="75" t="str">
        <x:v>Unknown operator form/parameters</x:v>
      </x:c>
      <x:c r="M51" s="75" t="str">
        <x:v>Training-free latent diffusion blind inversion</x:v>
      </x:c>
      <x:c r="N51" s="75" t="str">
        <x:v>Soft likelihood</x:v>
      </x:c>
      <x:c r="O51" s="75" t="str">
        <x:v>Yes</x:v>
      </x:c>
      <x:c r="P51" s="75" t="str">
        <x:v>Yes</x:v>
      </x:c>
      <x:c r="Q51" s="75" t="str">
        <x:v>No</x:v>
      </x:c>
      <x:c r="R51" s="75" t="str">
        <x:v>No</x:v>
      </x:c>
      <x:c r="S51" s="75" t="str">
        <x:v>Partial</x:v>
      </x:c>
      <x:c r="T51" s="75" t="str">
        <x:v>No</x:v>
      </x:c>
      <x:c r="U51" s="75" t="str">
        <x:v>Yes</x:v>
      </x:c>
      <x:c r="V51" s="75" t="str">
        <x:v>No</x:v>
      </x:c>
      <x:c r="W51" s="75" t="str">
        <x:v>No</x:v>
      </x:c>
      <x:c r="X51" s="75" t="str">
        <x:v>No</x:v>
      </x:c>
      <x:c r="Y51" s="75" t="str">
        <x:v>Unknown</x:v>
      </x:c>
      <x:c r="Z51" s="75" t="str">
        <x:v>AI full-text eligibility assessed; selected features verified</x:v>
      </x:c>
      <x:c r="AA51" s="75" t="str">
        <x:v>Pending formal eligibility</x:v>
      </x:c>
      <x:c r="AB51" s="75" t="str">
        <x:v>Yes</x:v>
      </x:c>
      <x:c r="AC51" s="75" t="str">
        <x:v>Broad blind inversion through operator initialization and refinement with a text-to-image latent prior</x:v>
      </x:c>
      <x:c r="AD51" s="75" t="str">
        <x:v>No calibrated dual UQ, temporal compound chain, support audit, device validation or abstention</x:v>
      </x:c>
      <x:c r="AE51" s="75" t="str">
        <x:v>https://arxiv.org/abs/2412.00557</x:v>
      </x:c>
      <x:c r="AF51" s="75" t="str">
        <x:v>Major threat to any general blind-operator claim | AI pilot 2026-09-16: AI pilot: advance; human pending. Basis: Complete author preprint abstract and coauthor publication listing. Feature codes remain provisional. Check prompt sensitivity, operator constraints and identifiability. Retained peer-review flag is legacy metadata; workshop review procedure was not independently verified. Evidence: https://arxiv.org/abs/2412.00557 | AI full-text 2026-09-16: include; human pending. Verified fields: O, P, Q, R, S, T, U, X. Evidence/version/read extent: screening/full_text_03.json (P050). Unlisted feature codes remain provisional.</x:v>
      </x:c>
    </x:row>
    <x:row r="52" ht="176" customHeight="1">
      <x:c r="A52" s="85" t="str">
        <x:v>P051</x:v>
      </x:c>
      <x:c r="B52" s="86" t="n">
        <x:v>2026</x:v>
      </x:c>
      <x:c r="C52" s="75" t="str">
        <x:v>Hu et al.</x:v>
      </x:c>
      <x:c r="D52" s="75" t="str">
        <x:v>ADOBI: Adaptive Diffusion Bridge For Blind Inverse Problems with Application to MRI Reconstruction</x:v>
      </x:c>
      <x:c r="E52" s="75" t="str">
        <x:v>IEEE TCI</x:v>
      </x:c>
      <x:c r="F52" s="75" t="str">
        <x:v>Journal</x:v>
      </x:c>
      <x:c r="G52" s="75" t="str">
        <x:v>Yes</x:v>
      </x:c>
      <x:c r="H52" s="75" t="str">
        <x:v>Parallel MRI</x:v>
      </x:c>
      <x:c r="I52" s="75" t="str">
        <x:v>Medical imaging</x:v>
      </x:c>
      <x:c r="J52" s="75" t="str">
        <x:v>Fourier sampling with unknown coil sensitivities</x:v>
      </x:c>
      <x:c r="K52" s="75" t="str">
        <x:v>Unknown</x:v>
      </x:c>
      <x:c r="L52" s="75" t="str">
        <x:v>Unknown coil-sensitivity component</x:v>
      </x:c>
      <x:c r="M52" s="75" t="str">
        <x:v>Adaptive diffusion bridge</x:v>
      </x:c>
      <x:c r="N52" s="75" t="str">
        <x:v>Hard/measurement consistency</x:v>
      </x:c>
      <x:c r="O52" s="75" t="str">
        <x:v>Yes</x:v>
      </x:c>
      <x:c r="P52" s="75" t="str">
        <x:v>Yes</x:v>
      </x:c>
      <x:c r="Q52" s="75" t="str">
        <x:v>No</x:v>
      </x:c>
      <x:c r="R52" s="75" t="str">
        <x:v>No</x:v>
      </x:c>
      <x:c r="S52" s="75" t="str">
        <x:v>Partial</x:v>
      </x:c>
      <x:c r="T52" s="75" t="str">
        <x:v>Partial</x:v>
      </x:c>
      <x:c r="U52" s="75" t="str">
        <x:v>Yes</x:v>
      </x:c>
      <x:c r="V52" s="75" t="str">
        <x:v>No</x:v>
      </x:c>
      <x:c r="W52" s="75" t="str">
        <x:v>No</x:v>
      </x:c>
      <x:c r="X52" s="75" t="str">
        <x:v>No</x:v>
      </x:c>
      <x:c r="Y52" s="75" t="str">
        <x:v>Unknown</x:v>
      </x:c>
      <x:c r="Z52" s="75" t="str">
        <x:v>AI full-text eligibility assessed; selected features verified</x:v>
      </x:c>
      <x:c r="AA52" s="75" t="str">
        <x:v>Pending formal eligibility</x:v>
      </x:c>
      <x:c r="AB52" s="75" t="str">
        <x:v>Yes</x:v>
      </x:c>
      <x:c r="AC52" s="75" t="str">
        <x:v>Fast stochastic joint reconstruction and coil-map calibration with image variance as an error indicator</x:v>
      </x:c>
      <x:c r="AD52" s="75" t="str">
        <x:v>Single unknown component; no operator-UQ calibration, compound/device shift, support audit or abstention</x:v>
      </x:c>
      <x:c r="AE52" s="75" t="str">
        <x:v>https://doi.org/10.1109/TCI.2026.3678407</x:v>
      </x:c>
      <x:c r="AF52" s="75" t="str">
        <x:v>Top adaptive blind-UQ competitor | AI pilot 2026-09-16: AI pilot: advance; human pending. Basis: Complete author preprint abstract; journal lineage from the existing audit. Feature codes remain provisional. Does coil calibration propagate operator uncertainty or yield a point estimate? Test the distinction between imperfect parameters and a wrong acquisition family. Evidence: https://arxiv.org/abs/2411.16535 | AI full-text 2026-09-16: include; human pending. Verified fields: O, P, Q, R, T, U, X. Evidence/version/read extent: screening/full_text_03.json (P051). Unlisted feature codes remain provisional.</x:v>
      </x:c>
    </x:row>
    <x:row r="53" ht="176" customHeight="1">
      <x:c r="A53" s="85" t="str">
        <x:v>P052</x:v>
      </x:c>
      <x:c r="B53" s="86" t="n">
        <x:v>2026</x:v>
      </x:c>
      <x:c r="C53" s="75" t="str">
        <x:v>Liu et al.</x:v>
      </x:c>
      <x:c r="D53" s="75" t="str">
        <x:v>Resolving Blind Inverse Problems under Dynamic Range Compression via Structured Forward Operator Modeling</x:v>
      </x:c>
      <x:c r="E53" s="75" t="str">
        <x:v>ICML</x:v>
      </x:c>
      <x:c r="F53" s="75" t="str">
        <x:v>Conference</x:v>
      </x:c>
      <x:c r="G53" s="75" t="str">
        <x:v>Yes</x:v>
      </x:c>
      <x:c r="H53" s="75" t="str">
        <x:v>Low-light/MRI/HDR</x:v>
      </x:c>
      <x:c r="I53" s="75" t="str">
        <x:v>Computational and medical imaging</x:v>
      </x:c>
      <x:c r="J53" s="75" t="str">
        <x:v>Unknown monotonic radiometric operator</x:v>
      </x:c>
      <x:c r="K53" s="75" t="str">
        <x:v>Unknown</x:v>
      </x:c>
      <x:c r="L53" s="75" t="str">
        <x:v>Dynamic-range compression/nonlinear response</x:v>
      </x:c>
      <x:c r="M53" s="75" t="str">
        <x:v>Structured-operator diffusion inversion</x:v>
      </x:c>
      <x:c r="N53" s="75" t="str">
        <x:v>Hard physical constraint</x:v>
      </x:c>
      <x:c r="O53" s="75" t="str">
        <x:v>Yes</x:v>
      </x:c>
      <x:c r="P53" s="75" t="str">
        <x:v>No</x:v>
      </x:c>
      <x:c r="Q53" s="75" t="str">
        <x:v>No</x:v>
      </x:c>
      <x:c r="R53" s="75" t="str">
        <x:v>No</x:v>
      </x:c>
      <x:c r="S53" s="75" t="str">
        <x:v>Yes</x:v>
      </x:c>
      <x:c r="T53" s="75" t="str">
        <x:v>Yes</x:v>
      </x:c>
      <x:c r="U53" s="75" t="str">
        <x:v>Yes</x:v>
      </x:c>
      <x:c r="V53" s="75" t="str">
        <x:v>No</x:v>
      </x:c>
      <x:c r="W53" s="75" t="str">
        <x:v>Partial</x:v>
      </x:c>
      <x:c r="X53" s="75" t="str">
        <x:v>No</x:v>
      </x:c>
      <x:c r="Y53" s="75" t="str">
        <x:v>Unknown</x:v>
      </x:c>
      <x:c r="Z53" s="75" t="str">
        <x:v>AI full-text eligibility assessed; selected features verified</x:v>
      </x:c>
      <x:c r="AA53" s="75" t="str">
        <x:v>Pending formal eligibility</x:v>
      </x:c>
      <x:c r="AB53" s="75" t="str">
        <x:v>Yes</x:v>
      </x:c>
      <x:c r="AC53" s="75" t="str">
        <x:v>Jointly estimates a monotonic nonlinear response and image with a diffusion prior</x:v>
      </x:c>
      <x:c r="AD53" s="75" t="str">
        <x:v>Spatially stationary single operator; no temporal compound chain, calibrated UQ, support guarantee or abstention</x:v>
      </x:c>
      <x:c r="AE53" s="75" t="str">
        <x:v>https://arxiv.org/abs/2603.01890</x:v>
      </x:c>
      <x:c r="AF53" s="75" t="str">
        <x:v>CaMB-Diff; nonlinear-operator threat | AI pilot 2026-09-16: AI pilot: advance; human pending. Basis: Complete author preprint abstract and coauthor ICML acceptance announcement. Feature codes remain provisional. Distinguish radiometric dynamic-range compression from image/video codec artifacts. Assess identifiability, saturation and validity when the true operator violates monotonicity. Evidence: https://arxiv.org/abs/2603.01890 | AI full-text 2026-09-16: include; human pending. Verified fields: O, P, Q, R, T, U, W, X. Evidence/version/read extent: screening/full_text_03.json (P052). Unlisted feature codes remain provisional.</x:v>
      </x:c>
    </x:row>
    <x:row r="54" ht="176" customHeight="1">
      <x:c r="A54" s="85" t="str">
        <x:v>P053</x:v>
      </x:c>
      <x:c r="B54" s="86" t="n">
        <x:v>2026</x:v>
      </x:c>
      <x:c r="C54" s="75" t="str">
        <x:v>Zhao et al.</x:v>
      </x:c>
      <x:c r="D54" s="75" t="str">
        <x:v>FaverNet: All-in-One Video Restoration via Frequency-Discriminative Conditioning</x:v>
      </x:c>
      <x:c r="E54" s="75" t="str">
        <x:v>IJCV</x:v>
      </x:c>
      <x:c r="F54" s="75" t="str">
        <x:v>Journal</x:v>
      </x:c>
      <x:c r="G54" s="75" t="str">
        <x:v>Yes</x:v>
      </x:c>
      <x:c r="H54" s="75" t="str">
        <x:v>All-in-one video restoration</x:v>
      </x:c>
      <x:c r="I54" s="75" t="str">
        <x:v>Synthetic/common and weather video</x:v>
      </x:c>
      <x:c r="J54" s="75" t="str">
        <x:v>Implicit mixed video degradation</x:v>
      </x:c>
      <x:c r="K54" s="75" t="str">
        <x:v>Unknown</x:v>
      </x:c>
      <x:c r="L54" s="75" t="str">
        <x:v>Noise/blur/JPEG/video compression/weather</x:v>
      </x:c>
      <x:c r="M54" s="75" t="str">
        <x:v>Frequency-conditioned video restoration</x:v>
      </x:c>
      <x:c r="N54" s="75" t="str">
        <x:v>Implicit</x:v>
      </x:c>
      <x:c r="O54" s="75" t="str">
        <x:v>No</x:v>
      </x:c>
      <x:c r="P54" s="75" t="str">
        <x:v>No</x:v>
      </x:c>
      <x:c r="Q54" s="75" t="str">
        <x:v>No</x:v>
      </x:c>
      <x:c r="R54" s="75" t="str">
        <x:v>No</x:v>
      </x:c>
      <x:c r="S54" s="75" t="str">
        <x:v>Yes</x:v>
      </x:c>
      <x:c r="T54" s="75" t="str">
        <x:v>Partial</x:v>
      </x:c>
      <x:c r="U54" s="75" t="str">
        <x:v>Yes</x:v>
      </x:c>
      <x:c r="V54" s="75" t="str">
        <x:v>Yes</x:v>
      </x:c>
      <x:c r="W54" s="75" t="str">
        <x:v>No</x:v>
      </x:c>
      <x:c r="X54" s="75" t="str">
        <x:v>No</x:v>
      </x:c>
      <x:c r="Y54" s="75" t="str">
        <x:v>Yes</x:v>
      </x:c>
      <x:c r="Z54" s="75" t="str">
        <x:v>Abstract inspected; full-text pending</x:v>
      </x:c>
      <x:c r="AA54" s="75" t="str">
        <x:v>Pending formal eligibility</x:v>
      </x:c>
      <x:c r="AB54" s="75" t="str">
        <x:v>Yes</x:v>
      </x:c>
      <x:c r="AC54" s="75" t="str">
        <x:v>Restores time-varying common and weather degradations with frequency-discriminative conditioning</x:v>
      </x:c>
      <x:c r="AD54" s="75" t="str">
        <x:v>Mostly synthetic/common degradation and no explicit operator posterior, calibration, support audit or abstention</x:v>
      </x:c>
      <x:c r="AE54" s="75" t="str">
        <x:v>https://doi.org/10.1007/s11263-026-02977-y</x:v>
      </x:c>
      <x:c r="AF54" s="75" t="str">
        <x:v>Closest 2026 all-in-one video competitor | AI pilot 2026-09-16: AI pilot: advance; human pending. Basis: Complete publisher abstract and publication metadata. Feature codes remain provisional. Compare its study lineage and experiments with P026 AverNet before counting independent evidence. Verify temporal/compound settings and complete code/data release rather than infer release from a link. Evidence: https://link.springer.com/article/10.1007/s11263-026-02977-y</x:v>
      </x:c>
    </x:row>
    <x:row r="55" ht="176" customHeight="1">
      <x:c r="A55" s="85" t="str">
        <x:v>P054</x:v>
      </x:c>
      <x:c r="B55" s="86" t="n">
        <x:v>2024</x:v>
      </x:c>
      <x:c r="C55" s="75" t="str">
        <x:v>Kim et al.</x:v>
      </x:c>
      <x:c r="D55" s="75" t="str">
        <x:v>Towards Real-world Event-guided Low-light Video Enhancement and Deblurring</x:v>
      </x:c>
      <x:c r="E55" s="75" t="str">
        <x:v>ECCV</x:v>
      </x:c>
      <x:c r="F55" s="75" t="str">
        <x:v>Conference</x:v>
      </x:c>
      <x:c r="G55" s="75" t="str">
        <x:v>Yes</x:v>
      </x:c>
      <x:c r="H55" s="75" t="str">
        <x:v>Low-light video deblurring</x:v>
      </x:c>
      <x:c r="I55" s="75" t="str">
        <x:v>Urban scenes</x:v>
      </x:c>
      <x:c r="J55" s="75" t="str">
        <x:v>Low-light blur with event measurements</x:v>
      </x:c>
      <x:c r="K55" s="75" t="str">
        <x:v>Unknown</x:v>
      </x:c>
      <x:c r="L55" s="75" t="str">
        <x:v>Low light, motion blur and sensor noise</x:v>
      </x:c>
      <x:c r="M55" s="75" t="str">
        <x:v>Event-guided restoration network</x:v>
      </x:c>
      <x:c r="N55" s="75" t="str">
        <x:v>Implicit/multisensor</x:v>
      </x:c>
      <x:c r="O55" s="75" t="str">
        <x:v>No</x:v>
      </x:c>
      <x:c r="P55" s="75" t="str">
        <x:v>No</x:v>
      </x:c>
      <x:c r="Q55" s="75" t="str">
        <x:v>No</x:v>
      </x:c>
      <x:c r="R55" s="75" t="str">
        <x:v>No</x:v>
      </x:c>
      <x:c r="S55" s="75" t="str">
        <x:v>Yes</x:v>
      </x:c>
      <x:c r="T55" s="75" t="str">
        <x:v>Yes</x:v>
      </x:c>
      <x:c r="U55" s="75" t="str">
        <x:v>Yes</x:v>
      </x:c>
      <x:c r="V55" s="75" t="str">
        <x:v>Partial</x:v>
      </x:c>
      <x:c r="W55" s="75" t="str">
        <x:v>No</x:v>
      </x:c>
      <x:c r="X55" s="75" t="str">
        <x:v>No</x:v>
      </x:c>
      <x:c r="Y55" s="75" t="str">
        <x:v>Yes</x:v>
      </x:c>
      <x:c r="Z55" s="75" t="str">
        <x:v>AI full-text eligibility assessed; selected features verified</x:v>
      </x:c>
      <x:c r="AA55" s="75" t="str">
        <x:v>Pending formal eligibility</x:v>
      </x:c>
      <x:c r="AB55" s="75" t="str">
        <x:v>Yes</x:v>
      </x:c>
      <x:c r="AC55" s="75" t="str">
        <x:v>Provides a real beam-splitter dataset and jointly restores low-light blur using event data</x:v>
      </x:c>
      <x:c r="AD55" s="75" t="str">
        <x:v>Requires an event sensor; no explicit operator inference, calibrated UQ, support audit or abstention</x:v>
      </x:c>
      <x:c r="AE55" s="75" t="str">
        <x:v>https://doi.org/10.1007/978-3-031-73254-6_25</x:v>
      </x:c>
      <x:c r="AF55" s="75" t="str">
        <x:v>High-value real urban data comparator | AI pilot 2026-09-16: AI pilot: advance; human pending. Basis: Complete author preprint abstract. Feature codes remain provisional. Which information depends on an event sensor unavailable in ordinary CCTV? Verify pairing, exposure differences and cross-device generalization. Evidence: https://arxiv.org/abs/2408.14916 | AI full-text 2026-09-16: include; human pending. Verified fields: O, P, Q, R, T, U, X. Evidence/version/read extent: screening/full_text_04.json (P054). Unlisted feature codes remain provisional.</x:v>
      </x:c>
    </x:row>
    <x:row r="56" ht="176" customHeight="1">
      <x:c r="A56" s="85" t="str">
        <x:v>P055</x:v>
      </x:c>
      <x:c r="B56" s="86" t="n">
        <x:v>2022</x:v>
      </x:c>
      <x:c r="C56" s="75" t="str">
        <x:v>Zhou et al.</x:v>
      </x:c>
      <x:c r="D56" s="75" t="str">
        <x:v>LEDNet: Joint Low-Light Enhancement and Deblurring in the Dark</x:v>
      </x:c>
      <x:c r="E56" s="75" t="str">
        <x:v>ECCV</x:v>
      </x:c>
      <x:c r="F56" s="75" t="str">
        <x:v>Conference</x:v>
      </x:c>
      <x:c r="G56" s="75" t="str">
        <x:v>Yes</x:v>
      </x:c>
      <x:c r="H56" s="75" t="str">
        <x:v>Low-light image deblurring</x:v>
      </x:c>
      <x:c r="I56" s="75" t="str">
        <x:v>Natural images</x:v>
      </x:c>
      <x:c r="J56" s="75" t="str">
        <x:v>Synthetic low-light blur model</x:v>
      </x:c>
      <x:c r="K56" s="75" t="str">
        <x:v>Unknown</x:v>
      </x:c>
      <x:c r="L56" s="75" t="str">
        <x:v>Darkness, motion blur and light streaks</x:v>
      </x:c>
      <x:c r="M56" s="75" t="str">
        <x:v>Joint enhancement/deblurring network</x:v>
      </x:c>
      <x:c r="N56" s="75" t="str">
        <x:v>Implicit</x:v>
      </x:c>
      <x:c r="O56" s="75" t="str">
        <x:v>No</x:v>
      </x:c>
      <x:c r="P56" s="75" t="str">
        <x:v>No</x:v>
      </x:c>
      <x:c r="Q56" s="75" t="str">
        <x:v>No</x:v>
      </x:c>
      <x:c r="R56" s="75" t="str">
        <x:v>No</x:v>
      </x:c>
      <x:c r="S56" s="75" t="str">
        <x:v>Yes</x:v>
      </x:c>
      <x:c r="T56" s="75" t="str">
        <x:v>Partial</x:v>
      </x:c>
      <x:c r="U56" s="75" t="str">
        <x:v>Yes</x:v>
      </x:c>
      <x:c r="V56" s="75" t="str">
        <x:v>No</x:v>
      </x:c>
      <x:c r="W56" s="75" t="str">
        <x:v>No</x:v>
      </x:c>
      <x:c r="X56" s="75" t="str">
        <x:v>No</x:v>
      </x:c>
      <x:c r="Y56" s="75" t="str">
        <x:v>Yes</x:v>
      </x:c>
      <x:c r="Z56" s="75" t="str">
        <x:v>Abstract inspected; full-text pending</x:v>
      </x:c>
      <x:c r="AA56" s="75" t="str">
        <x:v>Pending formal eligibility</x:v>
      </x:c>
      <x:c r="AB56" s="75" t="str">
        <x:v>No</x:v>
      </x:c>
      <x:c r="AC56" s="75" t="str">
        <x:v>Introduces LOL-Blur and joint low-light enhancement/deblurring</x:v>
      </x:c>
      <x:c r="AD56" s="75" t="str">
        <x:v>Synthetic paired training and unpaired real tests; no operator inference or reliability layer</x:v>
      </x:c>
      <x:c r="AE56" s="75" t="str">
        <x:v>https://doi.org/10.1007/978-3-031-20068-7_33</x:v>
      </x:c>
      <x:c r="AF56" s="75" t="str">
        <x:v>Compound-degradation baseline | AI pilot 2026-09-16: AI pilot: advance; human pending. Basis: Complete author preprint abstract. Feature codes remain provisional. How are blur, exposure, noise and processing ordered in synthesis? Determine which real examples have trustworthy references. Evidence: https://arxiv.org/abs/2202.03373</x:v>
      </x:c>
    </x:row>
    <x:row r="57" ht="176" customHeight="1">
      <x:c r="A57" s="85" t="str">
        <x:v>P056</x:v>
      </x:c>
      <x:c r="B57" s="86" t="n">
        <x:v>2022</x:v>
      </x:c>
      <x:c r="C57" s="75" t="str">
        <x:v>Chan et al.</x:v>
      </x:c>
      <x:c r="D57" s="75" t="str">
        <x:v>Investigating Tradeoffs in Real-World Video Super-Resolution</x:v>
      </x:c>
      <x:c r="E57" s="75" t="str">
        <x:v>CVPR</x:v>
      </x:c>
      <x:c r="F57" s="75" t="str">
        <x:v>Conference</x:v>
      </x:c>
      <x:c r="G57" s="75" t="str">
        <x:v>Yes</x:v>
      </x:c>
      <x:c r="H57" s="75" t="str">
        <x:v>Video super-resolution</x:v>
      </x:c>
      <x:c r="I57" s="75" t="str">
        <x:v>Natural video</x:v>
      </x:c>
      <x:c r="J57" s="75" t="str">
        <x:v>Stochastic synthetic degradation plus unknown real video pipeline</x:v>
      </x:c>
      <x:c r="K57" s="75" t="str">
        <x:v>Unknown</x:v>
      </x:c>
      <x:c r="L57" s="75" t="str">
        <x:v>Mixed blur/noise/compression/downsampling</x:v>
      </x:c>
      <x:c r="M57" s="75" t="str">
        <x:v>RealBasicVSR</x:v>
      </x:c>
      <x:c r="N57" s="75" t="str">
        <x:v>Implicit</x:v>
      </x:c>
      <x:c r="O57" s="75" t="str">
        <x:v>No</x:v>
      </x:c>
      <x:c r="P57" s="75" t="str">
        <x:v>No</x:v>
      </x:c>
      <x:c r="Q57" s="75" t="str">
        <x:v>No</x:v>
      </x:c>
      <x:c r="R57" s="75" t="str">
        <x:v>No</x:v>
      </x:c>
      <x:c r="S57" s="75" t="str">
        <x:v>Partial</x:v>
      </x:c>
      <x:c r="T57" s="75" t="str">
        <x:v>Yes</x:v>
      </x:c>
      <x:c r="U57" s="75" t="str">
        <x:v>Yes</x:v>
      </x:c>
      <x:c r="V57" s="75" t="str">
        <x:v>Yes</x:v>
      </x:c>
      <x:c r="W57" s="75" t="str">
        <x:v>Partial</x:v>
      </x:c>
      <x:c r="X57" s="75" t="str">
        <x:v>No</x:v>
      </x:c>
      <x:c r="Y57" s="75" t="str">
        <x:v>Yes</x:v>
      </x:c>
      <x:c r="Z57" s="75" t="str">
        <x:v>AI full-text eligibility assessed; selected features verified</x:v>
      </x:c>
      <x:c r="AA57" s="75" t="str">
        <x:v>Pending formal eligibility</x:v>
      </x:c>
      <x:c r="AB57" s="75" t="str">
        <x:v>No</x:v>
      </x:c>
      <x:c r="AC57" s="75" t="str">
        <x:v>Pairs diverse synthetic training degradation with an unpaired real low-quality video benchmark</x:v>
      </x:c>
      <x:c r="AD57" s="75" t="str">
        <x:v>No identifiable operator, calibrated reliability, support assessment or abstention</x:v>
      </x:c>
      <x:c r="AE57" s="75" t="str">
        <x:v>https://doi.org/10.1109/CVPR52688.2022.00587</x:v>
      </x:c>
      <x:c r="AF57" s="75" t="str">
        <x:v>Real-world VSR baseline | AI pilot 2026-09-16: AI pilot: advance; human pending. Basis: Complete author preprint abstract. Feature codes remain provisional. Separate perceptual gains on unpaired videos from faithful detail recovery. Verify held-out cameras/codecs and which degradations are jointly simulated. Evidence: https://arxiv.org/abs/2111.12704 | AI full-text 2026-09-16: include; human pending. Verified fields: O, P, Q, R, S, T, U, V, W, X. Evidence/version/read extent: screening/full_text_04.json (P056). Unlisted feature codes remain provisional.</x:v>
      </x:c>
    </x:row>
    <x:row r="58" ht="176" customHeight="1">
      <x:c r="A58" s="85" t="str">
        <x:v>P057</x:v>
      </x:c>
      <x:c r="B58" s="86" t="n">
        <x:v>2023</x:v>
      </x:c>
      <x:c r="C58" s="75" t="str">
        <x:v>Jeelani et al.</x:v>
      </x:c>
      <x:c r="D58" s="75" t="str">
        <x:v>Expanding Synthetic Real-World Degradations for Blind Video Super Resolution</x:v>
      </x:c>
      <x:c r="E58" s="75" t="str">
        <x:v>CVPR Workshops</x:v>
      </x:c>
      <x:c r="F58" s="75" t="str">
        <x:v>Conference</x:v>
      </x:c>
      <x:c r="G58" s="75" t="str">
        <x:v>Yes</x:v>
      </x:c>
      <x:c r="H58" s="75" t="str">
        <x:v>Blind video super-resolution</x:v>
      </x:c>
      <x:c r="I58" s="75" t="str">
        <x:v>Natural video</x:v>
      </x:c>
      <x:c r="J58" s="75" t="str">
        <x:v>Randomized synthetic degradation chain</x:v>
      </x:c>
      <x:c r="K58" s="75" t="str">
        <x:v>Unknown</x:v>
      </x:c>
      <x:c r="L58" s="75" t="str">
        <x:v>Blur, noise, downsampling, binning and image/video compression</x:v>
      </x:c>
      <x:c r="M58" s="75" t="str">
        <x:v>Blind VSR degradation training</x:v>
      </x:c>
      <x:c r="N58" s="75" t="str">
        <x:v>Implicit</x:v>
      </x:c>
      <x:c r="O58" s="75" t="str">
        <x:v>No</x:v>
      </x:c>
      <x:c r="P58" s="75" t="str">
        <x:v>No</x:v>
      </x:c>
      <x:c r="Q58" s="75" t="str">
        <x:v>No</x:v>
      </x:c>
      <x:c r="R58" s="75" t="str">
        <x:v>No</x:v>
      </x:c>
      <x:c r="S58" s="75" t="str">
        <x:v>Partial</x:v>
      </x:c>
      <x:c r="T58" s="75" t="str">
        <x:v>Yes</x:v>
      </x:c>
      <x:c r="U58" s="75" t="str">
        <x:v>Yes</x:v>
      </x:c>
      <x:c r="V58" s="75" t="str">
        <x:v>No</x:v>
      </x:c>
      <x:c r="W58" s="75" t="str">
        <x:v>No</x:v>
      </x:c>
      <x:c r="X58" s="75" t="str">
        <x:v>No</x:v>
      </x:c>
      <x:c r="Y58" s="75" t="str">
        <x:v>Unknown</x:v>
      </x:c>
      <x:c r="Z58" s="75" t="str">
        <x:v>AI full-text eligibility assessed; selected features verified</x:v>
      </x:c>
      <x:c r="AA58" s="75" t="str">
        <x:v>Pending formal eligibility</x:v>
      </x:c>
      <x:c r="AB58" s="75" t="str">
        <x:v>No</x:v>
      </x:c>
      <x:c r="AC58" s="75" t="str">
        <x:v>Expands compound synthetic degradations and evaluates on real HR-video content</x:v>
      </x:c>
      <x:c r="AD58" s="75" t="str">
        <x:v>No explicit operator recovery, calibrated UQ, measurement support or abstention</x:v>
      </x:c>
      <x:c r="AE58" s="75" t="str">
        <x:v>https://doi.org/10.1109/CVPRW59228.2023.00127</x:v>
      </x:c>
      <x:c r="AF58" s="75" t="str">
        <x:v>Useful simulator design reference | AI pilot 2026-09-16: AI pilot: advance; human pending. Basis: Complete author preprint abstract. Feature codes remain provisional. Do the tested codecs and degradation orders leave the training distribution? Non-reference quality scores alone do not establish recovery of true detail. Evidence: https://arxiv.org/abs/2305.02660 | AI full-text 2026-09-16: include; human pending. Verified fields: O, P, Q, R, S, T, U, V, X. Evidence/version/read extent: screening/full_text_04.json (P057). Unlisted feature codes remain provisional.</x:v>
      </x:c>
    </x:row>
    <x:row r="59" ht="176" customHeight="1">
      <x:c r="A59" s="85" t="str">
        <x:v>P058</x:v>
      </x:c>
      <x:c r="B59" s="86" t="n">
        <x:v>2021</x:v>
      </x:c>
      <x:c r="C59" s="75" t="str">
        <x:v>Yang et al.</x:v>
      </x:c>
      <x:c r="D59" s="75" t="str">
        <x:v>Real-world Video Super-resolution: A Benchmark Dataset and a Decomposition Based Learning Scheme</x:v>
      </x:c>
      <x:c r="E59" s="75" t="str">
        <x:v>ICCV</x:v>
      </x:c>
      <x:c r="F59" s="75" t="str">
        <x:v>Conference</x:v>
      </x:c>
      <x:c r="G59" s="75" t="str">
        <x:v>Yes</x:v>
      </x:c>
      <x:c r="H59" s="75" t="str">
        <x:v>Video super-resolution</x:v>
      </x:c>
      <x:c r="I59" s="75" t="str">
        <x:v>Real mobile-camera video</x:v>
      </x:c>
      <x:c r="J59" s="75" t="str">
        <x:v>Multicamera optics/ISP pipeline</x:v>
      </x:c>
      <x:c r="K59" s="75" t="str">
        <x:v>Unknown</x:v>
      </x:c>
      <x:c r="L59" s="75" t="str">
        <x:v>Authentic resolution, alignment and colour/luminance differences</x:v>
      </x:c>
      <x:c r="M59" s="75" t="str">
        <x:v>Decomposition-based VSR</x:v>
      </x:c>
      <x:c r="N59" s="75" t="str">
        <x:v>Implicit</x:v>
      </x:c>
      <x:c r="O59" s="75" t="str">
        <x:v>No</x:v>
      </x:c>
      <x:c r="P59" s="75" t="str">
        <x:v>No</x:v>
      </x:c>
      <x:c r="Q59" s="75" t="str">
        <x:v>No</x:v>
      </x:c>
      <x:c r="R59" s="75" t="str">
        <x:v>No</x:v>
      </x:c>
      <x:c r="S59" s="75" t="str">
        <x:v>Yes</x:v>
      </x:c>
      <x:c r="T59" s="75" t="str">
        <x:v>Yes</x:v>
      </x:c>
      <x:c r="U59" s="75" t="str">
        <x:v>Yes</x:v>
      </x:c>
      <x:c r="V59" s="75" t="str">
        <x:v>Yes</x:v>
      </x:c>
      <x:c r="W59" s="75" t="str">
        <x:v>No</x:v>
      </x:c>
      <x:c r="X59" s="75" t="str">
        <x:v>No</x:v>
      </x:c>
      <x:c r="Y59" s="75" t="str">
        <x:v>Yes</x:v>
      </x:c>
      <x:c r="Z59" s="75" t="str">
        <x:v>Abstract inspected; full-text pending</x:v>
      </x:c>
      <x:c r="AA59" s="75" t="str">
        <x:v>Pending formal eligibility</x:v>
      </x:c>
      <x:c r="AB59" s="75" t="str">
        <x:v>No</x:v>
      </x:c>
      <x:c r="AC59" s="75" t="str">
        <x:v>Provides more than 500 real paired LR-HR video clips from a multicamera phone</x:v>
      </x:c>
      <x:c r="AD59" s="75" t="str">
        <x:v>Phone rather than CCTV; no operator inference, UQ, support audit or abstention</x:v>
      </x:c>
      <x:c r="AE59" s="75" t="str">
        <x:v>https://doi.org/10.1109/ICCV48922.2021.00474</x:v>
      </x:c>
      <x:c r="AF59" s="75" t="str">
        <x:v>Real paired degradation benchmark | AI pilot 2026-09-16: AI pilot: advance; human pending. Basis: Complete institutional publication abstract and DOI metadata. Feature codes remain provisional. Quantify reference alignment and color bias, device separation and whether errors attributed to reconstruction could arise from imperfect ground truth. Evidence: https://research.polyu.edu.hk/en/publications/real-world-video-super-resolution-a-benchmark-dataset-and-a-decom/</x:v>
      </x:c>
    </x:row>
    <x:row r="60" ht="176" customHeight="1">
      <x:c r="A60" s="85" t="str">
        <x:v>P059</x:v>
      </x:c>
      <x:c r="B60" s="86" t="n">
        <x:v>2023</x:v>
      </x:c>
      <x:c r="C60" s="75" t="str">
        <x:v>Zhong et al.</x:v>
      </x:c>
      <x:c r="D60" s="75" t="str">
        <x:v>Real-World Video Deblurring: A Benchmark Dataset and an Efficient Recurrent Neural Network</x:v>
      </x:c>
      <x:c r="E60" s="75" t="str">
        <x:v>IJCV</x:v>
      </x:c>
      <x:c r="F60" s="75" t="str">
        <x:v>Journal</x:v>
      </x:c>
      <x:c r="G60" s="75" t="str">
        <x:v>Yes</x:v>
      </x:c>
      <x:c r="H60" s="75" t="str">
        <x:v>Video deblurring</x:v>
      </x:c>
      <x:c r="I60" s="75" t="str">
        <x:v>Real video</x:v>
      </x:c>
      <x:c r="J60" s="75" t="str">
        <x:v>Spatial/temporal blur</x:v>
      </x:c>
      <x:c r="K60" s="75" t="str">
        <x:v>Unknown</x:v>
      </x:c>
      <x:c r="L60" s="75" t="str">
        <x:v>Real camera blur</x:v>
      </x:c>
      <x:c r="M60" s="75" t="str">
        <x:v>Efficient recurrent restoration network</x:v>
      </x:c>
      <x:c r="N60" s="75" t="str">
        <x:v>Implicit</x:v>
      </x:c>
      <x:c r="O60" s="75" t="str">
        <x:v>No</x:v>
      </x:c>
      <x:c r="P60" s="75" t="str">
        <x:v>No</x:v>
      </x:c>
      <x:c r="Q60" s="75" t="str">
        <x:v>No</x:v>
      </x:c>
      <x:c r="R60" s="75" t="str">
        <x:v>No</x:v>
      </x:c>
      <x:c r="S60" s="75" t="str">
        <x:v>Yes</x:v>
      </x:c>
      <x:c r="T60" s="75" t="str">
        <x:v>Yes</x:v>
      </x:c>
      <x:c r="U60" s="75" t="str">
        <x:v>No</x:v>
      </x:c>
      <x:c r="V60" s="75" t="str">
        <x:v>Yes</x:v>
      </x:c>
      <x:c r="W60" s="75" t="str">
        <x:v>No</x:v>
      </x:c>
      <x:c r="X60" s="75" t="str">
        <x:v>No</x:v>
      </x:c>
      <x:c r="Y60" s="75" t="str">
        <x:v>Yes</x:v>
      </x:c>
      <x:c r="Z60" s="75" t="str">
        <x:v>Abstract inspected; full-text pending</x:v>
      </x:c>
      <x:c r="AA60" s="75" t="str">
        <x:v>Pending formal eligibility</x:v>
      </x:c>
      <x:c r="AB60" s="75" t="str">
        <x:v>No</x:v>
      </x:c>
      <x:c r="AC60" s="75" t="str">
        <x:v>Introduces a co-axis beam-splitter paired blurry/sharp video benchmark</x:v>
      </x:c>
      <x:c r="AD60" s="75" t="str">
        <x:v>Primarily blur-only; no compound operator inference or reliability layer</x:v>
      </x:c>
      <x:c r="AE60" s="75" t="str">
        <x:v>https://doi.org/10.1007/s11263-022-01705-6</x:v>
      </x:c>
      <x:c r="AF60" s="75" t="str">
        <x:v>Real video blur benchmark | AI pilot 2026-09-16: AI pilot: advance; human pending. Basis: Complete author abstract and publisher journal metadata. Feature codes remain provisional. Check acquisition timing, alignment, reference quality and cross-dataset splits. Link any earlier conference report to the journal study before synthesis. Evidence: https://link.springer.com/article/10.1007/s11263-022-01705-6</x:v>
      </x:c>
    </x:row>
    <x:row r="61" ht="176" customHeight="1">
      <x:c r="A61" s="85" t="str">
        <x:v>P060</x:v>
      </x:c>
      <x:c r="B61" s="86" t="n">
        <x:v>2025</x:v>
      </x:c>
      <x:c r="C61" s="75" t="str">
        <x:v>Han &amp; Kim</x:v>
      </x:c>
      <x:c r="D61" s="75" t="str">
        <x:v>CQAD: An Image Quality Assessment Dataset for CCTV</x:v>
      </x:c>
      <x:c r="E61" s="75" t="str">
        <x:v>JMIS</x:v>
      </x:c>
      <x:c r="F61" s="75" t="str">
        <x:v>Journal</x:v>
      </x:c>
      <x:c r="G61" s="75" t="str">
        <x:v>Yes</x:v>
      </x:c>
      <x:c r="H61" s="75" t="str">
        <x:v>CCTV image quality assessment</x:v>
      </x:c>
      <x:c r="I61" s="75" t="str">
        <x:v>Surveillance frames</x:v>
      </x:c>
      <x:c r="J61" s="75" t="str">
        <x:v>Implicit CCTV capture plus synthetic distortions</x:v>
      </x:c>
      <x:c r="K61" s="75" t="str">
        <x:v>Unknown</x:v>
      </x:c>
      <x:c r="L61" s="75" t="str">
        <x:v>Six single distortions</x:v>
      </x:c>
      <x:c r="M61" s="75" t="str">
        <x:v>Subjective IQA benchmark</x:v>
      </x:c>
      <x:c r="N61" s="75" t="str">
        <x:v>None</x:v>
      </x:c>
      <x:c r="O61" s="75" t="str">
        <x:v>No</x:v>
      </x:c>
      <x:c r="P61" s="75" t="str">
        <x:v>No</x:v>
      </x:c>
      <x:c r="Q61" s="75" t="str">
        <x:v>No</x:v>
      </x:c>
      <x:c r="R61" s="75" t="str">
        <x:v>No</x:v>
      </x:c>
      <x:c r="S61" s="75" t="str">
        <x:v>No</x:v>
      </x:c>
      <x:c r="T61" s="75" t="str">
        <x:v>Yes</x:v>
      </x:c>
      <x:c r="U61" s="75" t="str">
        <x:v>No</x:v>
      </x:c>
      <x:c r="V61" s="75" t="str">
        <x:v>No</x:v>
      </x:c>
      <x:c r="W61" s="75" t="str">
        <x:v>No</x:v>
      </x:c>
      <x:c r="X61" s="75" t="str">
        <x:v>No</x:v>
      </x:c>
      <x:c r="Y61" s="75" t="str">
        <x:v>Unknown</x:v>
      </x:c>
      <x:c r="Z61" s="75" t="str">
        <x:v>AI full-text eligibility assessed; selected features verified</x:v>
      </x:c>
      <x:c r="AA61" s="75" t="str">
        <x:v>Pending formal eligibility</x:v>
      </x:c>
      <x:c r="AB61" s="75" t="str">
        <x:v>No</x:v>
      </x:c>
      <x:c r="AC61" s="75" t="str">
        <x:v>Combines 120 authentic CCTV reference frames with distorted variants and human MOS</x:v>
      </x:c>
      <x:c r="AD61" s="75" t="str">
        <x:v>IQA rather than restoration; single distortions, no temporal compounds, operator UQ or abstention</x:v>
      </x:c>
      <x:c r="AE61" s="75" t="str">
        <x:v>https://doi.org/10.33851/JMIS.2025.12.3.81</x:v>
      </x:c>
      <x:c r="AF61" s="75" t="str">
        <x:v>Direct CCTV stress-test seed | AI pilot 2026-09-16: AI pilot: unclear; human pending. Basis: Publisher abstract and opening full-text context. Feature codes remain provisional. Does this dataset provide a reconstruction-relevant evaluation under criterion 2/4, or belong only in contextual background? Real reference CCTV frames are not automatically clean scene truth. Evidence: https://www.jmis.org/archive/view_article?pid=jmis-12-3-81 | AI full-text 2026-09-16: exclude; human pending. Verified fields: T, U. Evidence/version/read extent: screening/full_text_01.json (P060). Unlisted feature codes remain provisional.</x:v>
      </x:c>
    </x:row>
    <x:row r="62" ht="176" customHeight="1">
      <x:c r="A62" s="85" t="str">
        <x:v>P061</x:v>
      </x:c>
      <x:c r="B62" s="86" t="n">
        <x:v>2026</x:v>
      </x:c>
      <x:c r="C62" s="75" t="str">
        <x:v>Endrei &amp; Cserey</x:v>
      </x:c>
      <x:c r="D62" s="75" t="str">
        <x:v>S3-CLIP: Video Super Resolution for Person-ReID</x:v>
      </x:c>
      <x:c r="E62" s="75" t="str">
        <x:v>WACV Workshops</x:v>
      </x:c>
      <x:c r="F62" s="75" t="str">
        <x:v>Conference</x:v>
      </x:c>
      <x:c r="G62" s="75" t="str">
        <x:v>Yes</x:v>
      </x:c>
      <x:c r="H62" s="75" t="str">
        <x:v>Surveillance video super-resolution</x:v>
      </x:c>
      <x:c r="I62" s="75" t="str">
        <x:v>CCTV/UAV person re-identification</x:v>
      </x:c>
      <x:c r="J62" s="75" t="str">
        <x:v>Extreme low-resolution surveillance pipeline</x:v>
      </x:c>
      <x:c r="K62" s="75" t="str">
        <x:v>Unknown</x:v>
      </x:c>
      <x:c r="L62" s="75" t="str">
        <x:v>Downsampling, JPEG and motion blur</x:v>
      </x:c>
      <x:c r="M62" s="75" t="str">
        <x:v>Semantics-guided VSR</x:v>
      </x:c>
      <x:c r="N62" s="75" t="str">
        <x:v>Implicit</x:v>
      </x:c>
      <x:c r="O62" s="75" t="str">
        <x:v>No</x:v>
      </x:c>
      <x:c r="P62" s="75" t="str">
        <x:v>No</x:v>
      </x:c>
      <x:c r="Q62" s="75" t="str">
        <x:v>No</x:v>
      </x:c>
      <x:c r="R62" s="75" t="str">
        <x:v>No</x:v>
      </x:c>
      <x:c r="S62" s="75" t="str">
        <x:v>Yes</x:v>
      </x:c>
      <x:c r="T62" s="75" t="str">
        <x:v>Yes</x:v>
      </x:c>
      <x:c r="U62" s="75" t="str">
        <x:v>Partial</x:v>
      </x:c>
      <x:c r="V62" s="75" t="str">
        <x:v>Yes</x:v>
      </x:c>
      <x:c r="W62" s="75" t="str">
        <x:v>Partial</x:v>
      </x:c>
      <x:c r="X62" s="75" t="str">
        <x:v>No</x:v>
      </x:c>
      <x:c r="Y62" s="75" t="str">
        <x:v>Yes</x:v>
      </x:c>
      <x:c r="Z62" s="75" t="str">
        <x:v>Abstract and repository inspected</x:v>
      </x:c>
      <x:c r="AA62" s="75" t="str">
        <x:v>Pending formal eligibility</x:v>
      </x:c>
      <x:c r="AB62" s="75" t="str">
        <x:v>Yes</x:v>
      </x:c>
      <x:c r="AC62" s="75" t="str">
        <x:v>Evaluates restoration for identity consistency on a large real surveillance/UAV dataset</x:v>
      </x:c>
      <x:c r="AD62" s="75" t="str">
        <x:v>Notes plausible identity-changing detail but provides no calibrated support test, operator UQ or abstention</x:v>
      </x:c>
      <x:c r="AE62" s="75" t="str">
        <x:v>https://doi.org/10.1109/WACVW68408.2026.00174</x:v>
      </x:c>
      <x:c r="AF62" s="75" t="str">
        <x:v>Best downstream forensic-reliability comparator | AI pilot 2026-09-16: AI pilot: advance; human pending. Basis: Complete author preprint abstract and official repository. Feature codes remain provisional. Which task improvements are caused by restored evidence rather than prior bias? Person-retrieval accuracy is not a certificate of image-detail fidelity. Evidence: https://arxiv.org/abs/2601.08807</x:v>
      </x:c>
    </x:row>
    <x:row r="63" ht="176" customHeight="1">
      <x:c r="A63" s="85" t="str">
        <x:v>P062</x:v>
      </x:c>
      <x:c r="B63" s="86" t="n">
        <x:v>2023</x:v>
      </x:c>
      <x:c r="C63" s="75" t="str">
        <x:v>Teneggi et al.</x:v>
      </x:c>
      <x:c r="D63" s="75" t="str">
        <x:v>How to Trust Your Diffusion Model: A Convex Optimization Approach to Conformal Risk Control</x:v>
      </x:c>
      <x:c r="E63" s="75" t="str">
        <x:v>ICML</x:v>
      </x:c>
      <x:c r="F63" s="75" t="str">
        <x:v>Conference</x:v>
      </x:c>
      <x:c r="G63" s="75" t="str">
        <x:v>Yes</x:v>
      </x:c>
      <x:c r="H63" s="75" t="str">
        <x:v>Denoising/CT</x:v>
      </x:c>
      <x:c r="I63" s="75" t="str">
        <x:v>Natural and medical images</x:v>
      </x:c>
      <x:c r="J63" s="75" t="str">
        <x:v>Known denoising/imaging task</x:v>
      </x:c>
      <x:c r="K63" s="75" t="str">
        <x:v>Known</x:v>
      </x:c>
      <x:c r="L63" s="75" t="str">
        <x:v>Reconstruction uncertainty</x:v>
      </x:c>
      <x:c r="M63" s="75" t="str">
        <x:v>Conformal risk control for diffusion</x:v>
      </x:c>
      <x:c r="N63" s="75" t="str">
        <x:v>None/statistical</x:v>
      </x:c>
      <x:c r="O63" s="75" t="str">
        <x:v>No</x:v>
      </x:c>
      <x:c r="P63" s="75" t="str">
        <x:v>Yes</x:v>
      </x:c>
      <x:c r="Q63" s="75" t="str">
        <x:v>No</x:v>
      </x:c>
      <x:c r="R63" s="75" t="str">
        <x:v>Yes</x:v>
      </x:c>
      <x:c r="S63" s="75" t="str">
        <x:v>No</x:v>
      </x:c>
      <x:c r="T63" s="75" t="str">
        <x:v>No</x:v>
      </x:c>
      <x:c r="U63" s="75" t="str">
        <x:v>No</x:v>
      </x:c>
      <x:c r="V63" s="75" t="str">
        <x:v>No</x:v>
      </x:c>
      <x:c r="W63" s="75" t="str">
        <x:v>Partial</x:v>
      </x:c>
      <x:c r="X63" s="75" t="str">
        <x:v>No</x:v>
      </x:c>
      <x:c r="Y63" s="75" t="str">
        <x:v>Unknown</x:v>
      </x:c>
      <x:c r="Z63" s="75" t="str">
        <x:v>AI full-text eligibility assessed; selected features verified</x:v>
      </x:c>
      <x:c r="AA63" s="75" t="str">
        <x:v>Pending formal eligibility</x:v>
      </x:c>
      <x:c r="AB63" s="75" t="str">
        <x:v>Yes</x:v>
      </x:c>
      <x:c r="AC63" s="75" t="str">
        <x:v>Controls multidimensional image risk using conformal methods</x:v>
      </x:c>
      <x:c r="AD63" s="75" t="str">
        <x:v>Known task and exchangeable labelled calibration; no operator mismatch, support guarantee or abstention</x:v>
      </x:c>
      <x:c r="AE63" s="75" t="str">
        <x:v>https://proceedings.mlr.press/v202/teneggi23a.html</x:v>
      </x:c>
      <x:c r="AF63" s="75" t="str">
        <x:v>Strong conformal-risk component | AI pilot 2026-09-16: AI pilot: advance; human pending. Basis: Complete official PMLR abstract. Feature codes remain provisional. Extract the risk unit, calibration assumptions and coverage statement; check whether any guarantee addresses changing or misspecified operators. Evidence: https://proceedings.mlr.press/v202/teneggi23a.html | AI full-text 2026-09-16: include; human pending. Verified fields: P, Q, R, S, T, X. Evidence/version/read extent: screening/full_text_02.json (P062). Unlisted feature codes remain provisional.</x:v>
      </x:c>
    </x:row>
    <x:row r="64" ht="176" customHeight="1">
      <x:c r="A64" s="85" t="str">
        <x:v>P063</x:v>
      </x:c>
      <x:c r="B64" s="86" t="n">
        <x:v>2024</x:v>
      </x:c>
      <x:c r="C64" s="75" t="str">
        <x:v>Wen et al.</x:v>
      </x:c>
      <x:c r="D64" s="75" t="str">
        <x:v>Task-Driven Uncertainty Quantification in Inverse Problems via Conformal Prediction</x:v>
      </x:c>
      <x:c r="E64" s="75" t="str">
        <x:v>ECCV</x:v>
      </x:c>
      <x:c r="F64" s="75" t="str">
        <x:v>Conference</x:v>
      </x:c>
      <x:c r="G64" s="75" t="str">
        <x:v>Yes</x:v>
      </x:c>
      <x:c r="H64" s="75" t="str">
        <x:v>Accelerated MRI</x:v>
      </x:c>
      <x:c r="I64" s="75" t="str">
        <x:v>Medical imaging</x:v>
      </x:c>
      <x:c r="J64" s="75" t="str">
        <x:v>Known MRI acquisition operator</x:v>
      </x:c>
      <x:c r="K64" s="75" t="str">
        <x:v>Known</x:v>
      </x:c>
      <x:c r="L64" s="75" t="str">
        <x:v>Task uncertainty</x:v>
      </x:c>
      <x:c r="M64" s="75" t="str">
        <x:v>Task-driven conformal prediction</x:v>
      </x:c>
      <x:c r="N64" s="75" t="str">
        <x:v>Hard/task model</x:v>
      </x:c>
      <x:c r="O64" s="75" t="str">
        <x:v>No</x:v>
      </x:c>
      <x:c r="P64" s="75" t="str">
        <x:v>Yes</x:v>
      </x:c>
      <x:c r="Q64" s="75" t="str">
        <x:v>No</x:v>
      </x:c>
      <x:c r="R64" s="75" t="str">
        <x:v>Yes</x:v>
      </x:c>
      <x:c r="S64" s="75" t="str">
        <x:v>No</x:v>
      </x:c>
      <x:c r="T64" s="75" t="str">
        <x:v>Partial</x:v>
      </x:c>
      <x:c r="U64" s="75" t="str">
        <x:v>No</x:v>
      </x:c>
      <x:c r="V64" s="75" t="str">
        <x:v>No</x:v>
      </x:c>
      <x:c r="W64" s="75" t="str">
        <x:v>Partial</x:v>
      </x:c>
      <x:c r="X64" s="75" t="str">
        <x:v>Partial</x:v>
      </x:c>
      <x:c r="Y64" s="75" t="str">
        <x:v>Unknown</x:v>
      </x:c>
      <x:c r="Z64" s="75" t="str">
        <x:v>AI full-text eligibility assessed; selected features verified</x:v>
      </x:c>
      <x:c r="AA64" s="75" t="str">
        <x:v>Pending formal eligibility</x:v>
      </x:c>
      <x:c r="AB64" s="75" t="str">
        <x:v>Yes</x:v>
      </x:c>
      <x:c r="AC64" s="75" t="str">
        <x:v>Calibrates downstream task uncertainty and supports acquisition stopping</x:v>
      </x:c>
      <x:c r="AD64" s="75" t="str">
        <x:v>Known operator and labelled calibration; no operator UQ, compound shift or reconstruction rejection</x:v>
      </x:c>
      <x:c r="AE64" s="75" t="str">
        <x:v>https://doi.org/10.1007/978-3-031-73027-6_11</x:v>
      </x:c>
      <x:c r="AF64" s="75" t="str">
        <x:v>Task-level reliability comparator | AI pilot 2026-09-16: AI pilot: advance; human pending. Basis: Complete author preprint abstract and existing ECCV lineage. Feature codes remain provisional. Distinguish stopping acquisition from abstaining on reconstructed content. Verify exchangeability and whether task-specific coverage survives operator shift. Evidence: https://arxiv.org/abs/2405.18527 | AI full-text 2026-09-16: include; human pending. Verified fields: P, Q, R, S, T, X. Evidence/version/read extent: screening/full_text_02.json (P063). Unlisted feature codes remain provisional.</x:v>
      </x:c>
    </x:row>
    <x:row r="65" ht="176" customHeight="1">
      <x:c r="A65" s="85" t="str">
        <x:v>P064</x:v>
      </x:c>
      <x:c r="B65" s="86" t="n">
        <x:v>2024</x:v>
      </x:c>
      <x:c r="C65" s="75" t="str">
        <x:v>Lütjen et al.</x:v>
      </x:c>
      <x:c r="D65" s="75" t="str">
        <x:v>Learning-Based Approaches for Reconstructions With Inexact Operators in nanoCT Applications</x:v>
      </x:c>
      <x:c r="E65" s="75" t="str">
        <x:v>IEEE TCI</x:v>
      </x:c>
      <x:c r="F65" s="75" t="str">
        <x:v>Journal</x:v>
      </x:c>
      <x:c r="G65" s="75" t="str">
        <x:v>Yes</x:v>
      </x:c>
      <x:c r="H65" s="75" t="str">
        <x:v>nanoCT</x:v>
      </x:c>
      <x:c r="I65" s="75" t="str">
        <x:v>Scientific imaging</x:v>
      </x:c>
      <x:c r="J65" s="75" t="str">
        <x:v>Inexact tomographic operator</x:v>
      </x:c>
      <x:c r="K65" s="75" t="str">
        <x:v>Approximate</x:v>
      </x:c>
      <x:c r="L65" s="75" t="str">
        <x:v>Operator perturbation</x:v>
      </x:c>
      <x:c r="M65" s="75" t="str">
        <x:v>Conditional invertible reconstruction network</x:v>
      </x:c>
      <x:c r="N65" s="75" t="str">
        <x:v>Implicit/probabilistic</x:v>
      </x:c>
      <x:c r="O65" s="75" t="str">
        <x:v>Partial</x:v>
      </x:c>
      <x:c r="P65" s="75" t="str">
        <x:v>Yes</x:v>
      </x:c>
      <x:c r="Q65" s="75" t="str">
        <x:v>No</x:v>
      </x:c>
      <x:c r="R65" s="75" t="str">
        <x:v>No</x:v>
      </x:c>
      <x:c r="S65" s="75" t="str">
        <x:v>Partial</x:v>
      </x:c>
      <x:c r="T65" s="75" t="str">
        <x:v>No</x:v>
      </x:c>
      <x:c r="U65" s="75" t="str">
        <x:v>No</x:v>
      </x:c>
      <x:c r="V65" s="75" t="str">
        <x:v>Yes</x:v>
      </x:c>
      <x:c r="W65" s="75" t="str">
        <x:v>No</x:v>
      </x:c>
      <x:c r="X65" s="75" t="str">
        <x:v>No</x:v>
      </x:c>
      <x:c r="Y65" s="75" t="str">
        <x:v>Unknown</x:v>
      </x:c>
      <x:c r="Z65" s="75" t="str">
        <x:v>AI full-text eligibility assessed; selected features verified</x:v>
      </x:c>
      <x:c r="AA65" s="75" t="str">
        <x:v>Pending formal eligibility</x:v>
      </x:c>
      <x:c r="AB65" s="75" t="str">
        <x:v>Yes</x:v>
      </x:c>
      <x:c r="AC65" s="75" t="str">
        <x:v>Couples inexact operators with sample-based reconstruction uncertainty</x:v>
      </x:c>
      <x:c r="AD65" s="75" t="str">
        <x:v>No explicit operator posterior/calibration, compound mismatch, support audit, abstention or real hardware</x:v>
      </x:c>
      <x:c r="AE65" s="75" t="str">
        <x:v>https://doi.org/10.1109/TCI.2024.3380319</x:v>
      </x:c>
      <x:c r="AF65" s="75" t="str">
        <x:v>Closest inexact-operator plus image-UQ study | AI pilot 2026-09-16: AI pilot: advance; human pending. Basis: Complete author preprint abstract and existing journal lineage. Feature codes remain provisional. Identify the stochastic operator model, image uncertainty measure and calibration evidence. Mismatch plus uncertainty is already studied; wrong-family reliability needs specific verification. Evidence: https://arxiv.org/abs/2307.10474 | AI full-text 2026-09-16: include; human pending. Verified fields: O, P, Q, R, S, T, V. Evidence/version/read extent: screening/full_text_01.json (P064). Unlisted feature codes remain provisional.</x:v>
      </x:c>
    </x:row>
    <x:row r="66" ht="176" customHeight="1">
      <x:c r="A66" s="85" t="str">
        <x:v>P065</x:v>
      </x:c>
      <x:c r="B66" s="86" t="n">
        <x:v>2025</x:v>
      </x:c>
      <x:c r="C66" s="75" t="str">
        <x:v>Ekmekci &amp; Cetin</x:v>
      </x:c>
      <x:c r="D66" s="75" t="str">
        <x:v>Conformalized Generative Bayesian Imaging: An Uncertainty Quantification Framework for Computational Imaging</x:v>
      </x:c>
      <x:c r="E66" s="75" t="str">
        <x:v>IEEE TCI</x:v>
      </x:c>
      <x:c r="F66" s="75" t="str">
        <x:v>Journal</x:v>
      </x:c>
      <x:c r="G66" s="75" t="str">
        <x:v>Yes</x:v>
      </x:c>
      <x:c r="H66" s="75" t="str">
        <x:v>CT/MRI/inpainting</x:v>
      </x:c>
      <x:c r="I66" s="75" t="str">
        <x:v>Medical and natural images</x:v>
      </x:c>
      <x:c r="J66" s="75" t="str">
        <x:v>Known linear acquisition operators</x:v>
      </x:c>
      <x:c r="K66" s="75" t="str">
        <x:v>Known</x:v>
      </x:c>
      <x:c r="L66" s="75" t="str">
        <x:v>Image and training uncertainty</x:v>
      </x:c>
      <x:c r="M66" s="75" t="str">
        <x:v>Generative Bayesian imaging plus conformal calibration</x:v>
      </x:c>
      <x:c r="N66" s="75" t="str">
        <x:v>Soft likelihood/statistical</x:v>
      </x:c>
      <x:c r="O66" s="75" t="str">
        <x:v>No</x:v>
      </x:c>
      <x:c r="P66" s="75" t="str">
        <x:v>Yes</x:v>
      </x:c>
      <x:c r="Q66" s="75" t="str">
        <x:v>No</x:v>
      </x:c>
      <x:c r="R66" s="75" t="str">
        <x:v>Yes</x:v>
      </x:c>
      <x:c r="S66" s="75" t="str">
        <x:v>Partial</x:v>
      </x:c>
      <x:c r="T66" s="75" t="str">
        <x:v>No</x:v>
      </x:c>
      <x:c r="U66" s="75" t="str">
        <x:v>No</x:v>
      </x:c>
      <x:c r="V66" s="75" t="str">
        <x:v>No</x:v>
      </x:c>
      <x:c r="W66" s="75" t="str">
        <x:v>Partial</x:v>
      </x:c>
      <x:c r="X66" s="75" t="str">
        <x:v>No</x:v>
      </x:c>
      <x:c r="Y66" s="75" t="str">
        <x:v>Unknown</x:v>
      </x:c>
      <x:c r="Z66" s="75" t="str">
        <x:v>AI full-text eligibility assessed; selected features verified</x:v>
      </x:c>
      <x:c r="AA66" s="75" t="str">
        <x:v>Pending formal eligibility</x:v>
      </x:c>
      <x:c r="AB66" s="75" t="str">
        <x:v>Yes</x:v>
      </x:c>
      <x:c r="AC66" s="75" t="str">
        <x:v>Integrates aleatoric and epistemic image uncertainty with conformal marginal coverage</x:v>
      </x:c>
      <x:c r="AD66" s="75" t="str">
        <x:v>Deterministic known operator; no operator uncertainty, compound shift, support test or abstention</x:v>
      </x:c>
      <x:c r="AE66" s="75" t="str">
        <x:v>https://doi.org/10.1109/TCI.2025.3649389</x:v>
      </x:c>
      <x:c r="AF66" s="75" t="str">
        <x:v>Strongest calibrated image-UQ competitor | AI pilot 2026-09-16: AI pilot: advance; human pending. Basis: Complete author preprint abstract and existing journal lineage. Feature codes remain provisional. Aleatoric and epistemic components do not automatically mean image and operator posteriors. Extract the latent variables, calibration target and operator-shift tests. Evidence: https://arxiv.org/abs/2504.07696 | AI full-text 2026-09-16: include; human pending. Verified fields: O, P, Q, R, S, T, X. Evidence/version/read extent: screening/full_text_02.json (P065). Unlisted feature codes remain provisional.</x:v>
      </x:c>
    </x:row>
    <x:row r="67" ht="176" customHeight="1">
      <x:c r="A67" s="85" t="str">
        <x:v>P066</x:v>
      </x:c>
      <x:c r="B67" s="86" t="n">
        <x:v>2025</x:v>
      </x:c>
      <x:c r="C67" s="75" t="str">
        <x:v>Everink et al.</x:v>
      </x:c>
      <x:c r="D67" s="75" t="str">
        <x:v>Self-supervised Conformal Prediction for Uncertainty Quantification in Imaging Problems</x:v>
      </x:c>
      <x:c r="E67" s="75" t="str">
        <x:v>SSVM</x:v>
      </x:c>
      <x:c r="F67" s="75" t="str">
        <x:v>Conference</x:v>
      </x:c>
      <x:c r="G67" s="75" t="str">
        <x:v>Yes</x:v>
      </x:c>
      <x:c r="H67" s="75" t="str">
        <x:v>Denoising/deblurring</x:v>
      </x:c>
      <x:c r="I67" s="75" t="str">
        <x:v>Natural images</x:v>
      </x:c>
      <x:c r="J67" s="75" t="str">
        <x:v>Known linear operator</x:v>
      </x:c>
      <x:c r="K67" s="75" t="str">
        <x:v>Known</x:v>
      </x:c>
      <x:c r="L67" s="75" t="str">
        <x:v>Image uncertainty without ground truth</x:v>
      </x:c>
      <x:c r="M67" s="75" t="str">
        <x:v>SURE-based conformal prediction</x:v>
      </x:c>
      <x:c r="N67" s="75" t="str">
        <x:v>Hard/statistical</x:v>
      </x:c>
      <x:c r="O67" s="75" t="str">
        <x:v>No</x:v>
      </x:c>
      <x:c r="P67" s="75" t="str">
        <x:v>Yes</x:v>
      </x:c>
      <x:c r="Q67" s="75" t="str">
        <x:v>No</x:v>
      </x:c>
      <x:c r="R67" s="75" t="str">
        <x:v>Yes</x:v>
      </x:c>
      <x:c r="S67" s="75" t="str">
        <x:v>No</x:v>
      </x:c>
      <x:c r="T67" s="75" t="str">
        <x:v>No</x:v>
      </x:c>
      <x:c r="U67" s="75" t="str">
        <x:v>No</x:v>
      </x:c>
      <x:c r="V67" s="75" t="str">
        <x:v>No</x:v>
      </x:c>
      <x:c r="W67" s="75" t="str">
        <x:v>No</x:v>
      </x:c>
      <x:c r="X67" s="75" t="str">
        <x:v>No</x:v>
      </x:c>
      <x:c r="Y67" s="75" t="str">
        <x:v>Unknown</x:v>
      </x:c>
      <x:c r="Z67" s="75" t="str">
        <x:v>AI full-text eligibility assessed; selected features verified</x:v>
      </x:c>
      <x:c r="AA67" s="75" t="str">
        <x:v>Pending formal eligibility</x:v>
      </x:c>
      <x:c r="AB67" s="75" t="str">
        <x:v>No</x:v>
      </x:c>
      <x:c r="AC67" s="75" t="str">
        <x:v>Provides self-supervised uncertainty calibration without clean targets</x:v>
      </x:c>
      <x:c r="AD67" s="75" t="str">
        <x:v>Restricted known linear/Gaussian setting; no compound mismatch, operator UQ, support test or selection</x:v>
      </x:c>
      <x:c r="AE67" s="75" t="str">
        <x:v>https://doi.org/10.1007/978-3-031-92366-1_9</x:v>
      </x:c>
      <x:c r="AF67" s="75" t="str">
        <x:v>Useful calibration method | AI pilot 2026-09-16: AI pilot: advance; human pending. Basis: Complete official Springer proceedings abstract. Feature codes remain provisional. Which noise and operator assumptions make the risk estimate valid? Check whether the calibration remains valid when those assumptions are wrong. Ground-truth-free calibration alone is not a new contribution. Evidence: https://link.springer.com/chapter/10.1007/978-3-031-92366-1_9 | AI full-text 2026-09-16: include; human pending. Verified fields: O, P, Q, R, S, T, X. Evidence/version/read extent: screening/full_text_01.json (P066). Unlisted feature codes remain provisional.</x:v>
      </x:c>
    </x:row>
    <x:row r="68" ht="176" customHeight="1">
      <x:c r="A68" s="85" t="str">
        <x:v>P067</x:v>
      </x:c>
      <x:c r="B68" s="86" t="n">
        <x:v>2025</x:v>
      </x:c>
      <x:c r="C68" s="75" t="str">
        <x:v>Ye et al.</x:v>
      </x:c>
      <x:c r="D68" s="75" t="str">
        <x:v>QUTCC: Quantile Uncertainty Training and Conformal Calibration for Imaging Inverse Problems</x:v>
      </x:c>
      <x:c r="E68" s="75" t="str">
        <x:v>arXiv</x:v>
      </x:c>
      <x:c r="F68" s="75" t="str">
        <x:v>Preprint</x:v>
      </x:c>
      <x:c r="G68" s="75" t="str">
        <x:v>No</x:v>
      </x:c>
      <x:c r="H68" s="75" t="str">
        <x:v>Denoising/MRI/QPM</x:v>
      </x:c>
      <x:c r="I68" s="75" t="str">
        <x:v>Natural and scientific imaging</x:v>
      </x:c>
      <x:c r="J68" s="75" t="str">
        <x:v>Known task-dependent operators</x:v>
      </x:c>
      <x:c r="K68" s="75" t="str">
        <x:v>Known</x:v>
      </x:c>
      <x:c r="L68" s="75" t="str">
        <x:v>Image uncertainty and hallucination</x:v>
      </x:c>
      <x:c r="M68" s="75" t="str">
        <x:v>Quantile training plus conformal calibration</x:v>
      </x:c>
      <x:c r="N68" s="75" t="str">
        <x:v>Statistical</x:v>
      </x:c>
      <x:c r="O68" s="75" t="str">
        <x:v>No</x:v>
      </x:c>
      <x:c r="P68" s="75" t="str">
        <x:v>Yes</x:v>
      </x:c>
      <x:c r="Q68" s="75" t="str">
        <x:v>No</x:v>
      </x:c>
      <x:c r="R68" s="75" t="str">
        <x:v>Yes</x:v>
      </x:c>
      <x:c r="S68" s="75" t="str">
        <x:v>No</x:v>
      </x:c>
      <x:c r="T68" s="75" t="str">
        <x:v>Yes</x:v>
      </x:c>
      <x:c r="U68" s="75" t="str">
        <x:v>No</x:v>
      </x:c>
      <x:c r="V68" s="75" t="str">
        <x:v>No</x:v>
      </x:c>
      <x:c r="W68" s="75" t="str">
        <x:v>Yes</x:v>
      </x:c>
      <x:c r="X68" s="75" t="str">
        <x:v>No</x:v>
      </x:c>
      <x:c r="Y68" s="75" t="str">
        <x:v>Unknown</x:v>
      </x:c>
      <x:c r="Z68" s="75" t="str">
        <x:v>AI full-text eligibility assessed; selected features verified</x:v>
      </x:c>
      <x:c r="AA68" s="75" t="str">
        <x:v>Pending formal eligibility</x:v>
      </x:c>
      <x:c r="AB68" s="75" t="str">
        <x:v>Yes</x:v>
      </x:c>
      <x:c r="AC68" s="75" t="str">
        <x:v>Produces spatially adaptive calibrated pixel intervals that highlight some hallucinations</x:v>
      </x:c>
      <x:c r="AD68" s="75" t="str">
        <x:v>Known operator and paired calibration; no measurement-support guarantee, operator UQ or abstention</x:v>
      </x:c>
      <x:c r="AE68" s="75" t="str">
        <x:v>https://arxiv.org/abs/2507.14760</x:v>
      </x:c>
      <x:c r="AF68" s="75" t="str">
        <x:v>Preprint reliability threat | AI pilot 2026-09-16: AI pilot: advance; human pending. Basis: Complete author preprint abstract. Feature codes remain provisional. Separate pixel-marginal from conditional or whole-image coverage. Does elevated uncertainty detect unsupported details reliably under operator shift, rather than in selected examples? Evidence: https://arxiv.org/abs/2507.14760 | AI full-text 2026-09-16: include; human pending. Verified fields: P, Q, R, S, T, U, V, X. Evidence/version/read extent: screening/full_text_02.json (P067). Unlisted feature codes remain provisional.</x:v>
      </x:c>
    </x:row>
    <x:row r="69" ht="176" customHeight="1">
      <x:c r="A69" s="85" t="str">
        <x:v>P068</x:v>
      </x:c>
      <x:c r="B69" s="86" t="n">
        <x:v>2020</x:v>
      </x:c>
      <x:c r="C69" s="75" t="str">
        <x:v>Abu Hussein et al.</x:v>
      </x:c>
      <x:c r="D69" s="75" t="str">
        <x:v>Correction Filter for Single Image Super-Resolution</x:v>
      </x:c>
      <x:c r="E69" s="75" t="str">
        <x:v>CVPR</x:v>
      </x:c>
      <x:c r="F69" s="75" t="str">
        <x:v>Conference</x:v>
      </x:c>
      <x:c r="G69" s="75" t="str">
        <x:v>Yes</x:v>
      </x:c>
      <x:c r="H69" s="75" t="str">
        <x:v>Single-image super-resolution</x:v>
      </x:c>
      <x:c r="I69" s="75" t="str">
        <x:v>Natural images</x:v>
      </x:c>
      <x:c r="J69" s="75" t="str">
        <x:v>Blur plus downsampling</x:v>
      </x:c>
      <x:c r="K69" s="75" t="str">
        <x:v>Approximate</x:v>
      </x:c>
      <x:c r="L69" s="75" t="str">
        <x:v>Test kernel differs from training operator</x:v>
      </x:c>
      <x:c r="M69" s="75" t="str">
        <x:v>Observation correction filter</x:v>
      </x:c>
      <x:c r="N69" s="75" t="str">
        <x:v>Hard/pre-correction</x:v>
      </x:c>
      <x:c r="O69" s="75" t="str">
        <x:v>Partial</x:v>
      </x:c>
      <x:c r="P69" s="75" t="str">
        <x:v>No</x:v>
      </x:c>
      <x:c r="Q69" s="75" t="str">
        <x:v>No</x:v>
      </x:c>
      <x:c r="R69" s="75" t="str">
        <x:v>No</x:v>
      </x:c>
      <x:c r="S69" s="75" t="str">
        <x:v>Yes</x:v>
      </x:c>
      <x:c r="T69" s="75" t="str">
        <x:v>No</x:v>
      </x:c>
      <x:c r="U69" s="75" t="str">
        <x:v>No</x:v>
      </x:c>
      <x:c r="V69" s="75" t="str">
        <x:v>No</x:v>
      </x:c>
      <x:c r="W69" s="75" t="str">
        <x:v>No</x:v>
      </x:c>
      <x:c r="X69" s="75" t="str">
        <x:v>No</x:v>
      </x:c>
      <x:c r="Y69" s="75" t="str">
        <x:v>Unknown</x:v>
      </x:c>
      <x:c r="Z69" s="75" t="str">
        <x:v>Abstract inspected; full-text pending</x:v>
      </x:c>
      <x:c r="AA69" s="75" t="str">
        <x:v>Pending formal eligibility</x:v>
      </x:c>
      <x:c r="AB69" s="75" t="str">
        <x:v>No</x:v>
      </x:c>
      <x:c r="AC69" s="75" t="str">
        <x:v>Corrects observations for blur/downsampling mismatch before applying a pretrained SR network</x:v>
      </x:c>
      <x:c r="AD69" s="75" t="str">
        <x:v>Fixed static operator class, point estimates and synthetic tests; no compound physical chain or reliability layer</x:v>
      </x:c>
      <x:c r="AE69" s="75" t="str">
        <x:v>https://doi.org/10.1109/CVPR42600.2020.00150</x:v>
      </x:c>
      <x:c r="AF69" s="75" t="str">
        <x:v>Early operator-mismatch baseline | AI pilot 2026-09-16: AI pilot: advance; human pending. Basis: Complete author preprint abstract; shorter seed conference title retained. Feature codes remain provisional. Verify the supplied versus estimated kernel assumptions and the publication lineage of the longer preprint title. Use 2020 conference publication for the review window. Evidence: https://arxiv.org/abs/1912.00157</x:v>
      </x:c>
    </x:row>
    <x:row r="70" ht="176" customHeight="1">
      <x:c r="A70" s="85" t="str">
        <x:v>P069</x:v>
      </x:c>
      <x:c r="B70" s="86" t="n">
        <x:v>2020</x:v>
      </x:c>
      <x:c r="C70" s="75" t="str">
        <x:v>Asim et al.</x:v>
      </x:c>
      <x:c r="D70" s="75" t="str">
        <x:v>Blind Image Deconvolution Using Deep Generative Priors</x:v>
      </x:c>
      <x:c r="E70" s="75" t="str">
        <x:v>IEEE TCI</x:v>
      </x:c>
      <x:c r="F70" s="75" t="str">
        <x:v>Journal</x:v>
      </x:c>
      <x:c r="G70" s="75" t="str">
        <x:v>Yes</x:v>
      </x:c>
      <x:c r="H70" s="75" t="str">
        <x:v>Blind deconvolution</x:v>
      </x:c>
      <x:c r="I70" s="75" t="str">
        <x:v>Natural and face images</x:v>
      </x:c>
      <x:c r="J70" s="75" t="str">
        <x:v>Spatially invariant convolution</x:v>
      </x:c>
      <x:c r="K70" s="75" t="str">
        <x:v>Unknown</x:v>
      </x:c>
      <x:c r="L70" s="75" t="str">
        <x:v>Unknown blur kernel</x:v>
      </x:c>
      <x:c r="M70" s="75" t="str">
        <x:v>Alternating deep generative priors</x:v>
      </x:c>
      <x:c r="N70" s="75" t="str">
        <x:v>Soft prior/likelihood</x:v>
      </x:c>
      <x:c r="O70" s="75" t="str">
        <x:v>Yes</x:v>
      </x:c>
      <x:c r="P70" s="75" t="str">
        <x:v>No</x:v>
      </x:c>
      <x:c r="Q70" s="75" t="str">
        <x:v>No</x:v>
      </x:c>
      <x:c r="R70" s="75" t="str">
        <x:v>No</x:v>
      </x:c>
      <x:c r="S70" s="75" t="str">
        <x:v>Partial</x:v>
      </x:c>
      <x:c r="T70" s="75" t="str">
        <x:v>No</x:v>
      </x:c>
      <x:c r="U70" s="75" t="str">
        <x:v>No</x:v>
      </x:c>
      <x:c r="V70" s="75" t="str">
        <x:v>No</x:v>
      </x:c>
      <x:c r="W70" s="75" t="str">
        <x:v>No</x:v>
      </x:c>
      <x:c r="X70" s="75" t="str">
        <x:v>No</x:v>
      </x:c>
      <x:c r="Y70" s="75" t="str">
        <x:v>Unknown</x:v>
      </x:c>
      <x:c r="Z70" s="75" t="str">
        <x:v>Abstract inspected; full-text pending</x:v>
      </x:c>
      <x:c r="AA70" s="75" t="str">
        <x:v>Pending formal eligibility</x:v>
      </x:c>
      <x:c r="AB70" s="75" t="str">
        <x:v>No</x:v>
      </x:c>
      <x:c r="AC70" s="75" t="str">
        <x:v>Jointly searches image and kernel generator latent spaces</x:v>
      </x:c>
      <x:c r="AD70" s="75" t="str">
        <x:v>Generator-range sensitivity, synthetic degradation and no calibrated dual UQ, support analysis or abstention</x:v>
      </x:c>
      <x:c r="AE70" s="75" t="str">
        <x:v>https://doi.org/10.1109/TCI.2020.3032671</x:v>
      </x:c>
      <x:c r="AF70" s="75" t="str">
        <x:v>Foundational joint image/kernel baseline | AI pilot 2026-09-16: AI pilot: advance; human pending. Basis: Complete author preprint abstract; existing journal citation retained. Feature codes remain provisional. Verify journal/preprint lineage and identifiability when the image or kernel lies outside the generator range. A deterministic latent optimum is not an uncertainty estimate. Evidence: https://arxiv.org/abs/1802.04073</x:v>
      </x:c>
    </x:row>
    <x:row r="71" ht="176" customHeight="1">
      <x:c r="A71" s="85" t="str">
        <x:v>P070</x:v>
      </x:c>
      <x:c r="B71" s="86" t="n">
        <x:v>2026</x:v>
      </x:c>
      <x:c r="C71" s="75" t="str">
        <x:v>Janjua et al.</x:v>
      </x:c>
      <x:c r="D71" s="75" t="str">
        <x:v>Grounding Degradations in Natural Language for All-In-One Video Restoration</x:v>
      </x:c>
      <x:c r="E71" s="75" t="str">
        <x:v>WACV</x:v>
      </x:c>
      <x:c r="F71" s="75" t="str">
        <x:v>Conference</x:v>
      </x:c>
      <x:c r="G71" s="75" t="str">
        <x:v>Yes</x:v>
      </x:c>
      <x:c r="H71" s="75" t="str">
        <x:v>All-in-one video restoration</x:v>
      </x:c>
      <x:c r="I71" s="75" t="str">
        <x:v>Synthetic video</x:v>
      </x:c>
      <x:c r="J71" s="75" t="str">
        <x:v>Prompt-described degradation chain</x:v>
      </x:c>
      <x:c r="K71" s="75" t="str">
        <x:v>Unknown</x:v>
      </x:c>
      <x:c r="L71" s="75" t="str">
        <x:v>Time-varying snow, blur, noise and compression</x:v>
      </x:c>
      <x:c r="M71" s="75" t="str">
        <x:v>Language-grounded video restoration</x:v>
      </x:c>
      <x:c r="N71" s="75" t="str">
        <x:v>Implicit</x:v>
      </x:c>
      <x:c r="O71" s="75" t="str">
        <x:v>No</x:v>
      </x:c>
      <x:c r="P71" s="75" t="str">
        <x:v>No</x:v>
      </x:c>
      <x:c r="Q71" s="75" t="str">
        <x:v>No</x:v>
      </x:c>
      <x:c r="R71" s="75" t="str">
        <x:v>No</x:v>
      </x:c>
      <x:c r="S71" s="75" t="str">
        <x:v>Yes</x:v>
      </x:c>
      <x:c r="T71" s="75" t="str">
        <x:v>No</x:v>
      </x:c>
      <x:c r="U71" s="75" t="str">
        <x:v>Yes</x:v>
      </x:c>
      <x:c r="V71" s="75" t="str">
        <x:v>Yes</x:v>
      </x:c>
      <x:c r="W71" s="75" t="str">
        <x:v>Partial</x:v>
      </x:c>
      <x:c r="X71" s="75" t="str">
        <x:v>No</x:v>
      </x:c>
      <x:c r="Y71" s="75" t="str">
        <x:v>Yes</x:v>
      </x:c>
      <x:c r="Z71" s="75" t="str">
        <x:v>AI full-text eligibility assessed; selected features verified</x:v>
      </x:c>
      <x:c r="AA71" s="75" t="str">
        <x:v>Pending formal eligibility</x:v>
      </x:c>
      <x:c r="AB71" s="75" t="str">
        <x:v>Yes</x:v>
      </x:c>
      <x:c r="AC71" s="75" t="str">
        <x:v>RONIN restores compound time-varying degradations using natural-language descriptions</x:v>
      </x:c>
      <x:c r="AD71" s="75" t="str">
        <x:v>Synthetic/non-CCTV; prompts can include extraneous degradations and there is no operator posterior, calibration, support audit or abstention</x:v>
      </x:c>
      <x:c r="AE71" s="75" t="str">
        <x:v>https://arxiv.org/abs/2507.14851</x:v>
      </x:c>
      <x:c r="AF71" s="75" t="str">
        <x:v>Closest prompt-conditioned compound-video competitor | AI pilot 2026-09-16: AI pilot: advance; human pending. Basis: Complete author preprint abstract; seed WACV venue not independently rechecked. Feature codes remain provisional. Extract the exact held-out combinations, temporal changes and inference inputs. Natural-language guidance plus changing compound degradation is an existing direction. Evidence: https://arxiv.org/abs/2507.14851 | AI full-text 2026-09-16: include; human pending. Verified fields: O, P, Q, R, S, T, U, V, X. Evidence/version/read extent: screening/full_text_06.json (P070). Unlisted feature codes remain provisional.</x:v>
      </x:c>
    </x:row>
    <x:row r="72" ht="176" customHeight="1">
      <x:c r="A72" s="85" t="str">
        <x:v>P071</x:v>
      </x:c>
      <x:c r="B72" s="86" t="n">
        <x:v>2023</x:v>
      </x:c>
      <x:c r="C72" s="75" t="str">
        <x:v>Park et al.</x:v>
      </x:c>
      <x:c r="D72" s="75" t="str">
        <x:v>All-in-One Image Restoration for Unknown Degradations Using Adaptive Discriminative Filters for Specific Degradations</x:v>
      </x:c>
      <x:c r="E72" s="75" t="str">
        <x:v>CVPR</x:v>
      </x:c>
      <x:c r="F72" s="75" t="str">
        <x:v>Conference</x:v>
      </x:c>
      <x:c r="G72" s="75" t="str">
        <x:v>Yes</x:v>
      </x:c>
      <x:c r="H72" s="75" t="str">
        <x:v>All-in-one restoration</x:v>
      </x:c>
      <x:c r="I72" s="75" t="str">
        <x:v>Natural images</x:v>
      </x:c>
      <x:c r="J72" s="75" t="str">
        <x:v>Implicit corruption process</x:v>
      </x:c>
      <x:c r="K72" s="75" t="str">
        <x:v>Unknown</x:v>
      </x:c>
      <x:c r="L72" s="75" t="str">
        <x:v>Multiple unknown degradation types</x:v>
      </x:c>
      <x:c r="M72" s="75" t="str">
        <x:v>Adaptive discriminative filters</x:v>
      </x:c>
      <x:c r="N72" s="75" t="str">
        <x:v>Implicit</x:v>
      </x:c>
      <x:c r="O72" s="75" t="str">
        <x:v>No</x:v>
      </x:c>
      <x:c r="P72" s="75" t="str">
        <x:v>No</x:v>
      </x:c>
      <x:c r="Q72" s="75" t="str">
        <x:v>No</x:v>
      </x:c>
      <x:c r="R72" s="75" t="str">
        <x:v>No</x:v>
      </x:c>
      <x:c r="S72" s="75" t="str">
        <x:v>Yes</x:v>
      </x:c>
      <x:c r="T72" s="75" t="str">
        <x:v>Partial</x:v>
      </x:c>
      <x:c r="U72" s="75" t="str">
        <x:v>Yes</x:v>
      </x:c>
      <x:c r="V72" s="75" t="str">
        <x:v>No</x:v>
      </x:c>
      <x:c r="W72" s="75" t="str">
        <x:v>No</x:v>
      </x:c>
      <x:c r="X72" s="75" t="str">
        <x:v>No</x:v>
      </x:c>
      <x:c r="Y72" s="75" t="str">
        <x:v>Yes</x:v>
      </x:c>
      <x:c r="Z72" s="75" t="str">
        <x:v>Title/project checked; abstract pending</x:v>
      </x:c>
      <x:c r="AA72" s="75" t="str">
        <x:v>Pending formal eligibility</x:v>
      </x:c>
      <x:c r="AB72" s="75" t="str">
        <x:v>No</x:v>
      </x:c>
      <x:c r="AC72" s="75" t="str">
        <x:v>Uses degradation-specific adaptive filters inside one restoration network</x:v>
      </x:c>
      <x:c r="AD72" s="75" t="str">
        <x:v>No explicit acquisition operator, calibrated uncertainty, support audit or abstention</x:v>
      </x:c>
      <x:c r="AE72" s="75" t="str">
        <x:v>https://openaccess.thecvf.com/content/CVPR2023/html/Park_All-in-One_Image_Restoration_for_Unknown_Degradations_Using_Adaptive_Discriminative_Filters_CVPR_2023_paper.html</x:v>
      </x:c>
      <x:c r="AF72" s="75" t="str">
        <x:v>Universal restoration baseline | AI pilot 2026-09-16: AI pilot: advance; human pending. Basis: Specific official proceedings title located; CVF HTML/PDF access failed; complete abstract unavailable. Feature codes remain provisional. Retrieve the complete paper and verify how degradation is inferred, whether combinations are simultaneous and how unknown degradation is operationally tested. Evidence: https://openaccess.thecvf.com/content/CVPR2023/html/Park_All-in-One_Image_Restoration_for_Unknown_Degradations_Using_Adaptive_Discriminative_Filters_CVPR_2023_paper.html</x:v>
      </x:c>
    </x:row>
    <x:row r="73" ht="176" customHeight="1">
      <x:c r="A73" s="85" t="str">
        <x:v>P072</x:v>
      </x:c>
      <x:c r="B73" s="86" t="n">
        <x:v>2023</x:v>
      </x:c>
      <x:c r="C73" s="75" t="str">
        <x:v>Wang et al.</x:v>
      </x:c>
      <x:c r="D73" s="75" t="str">
        <x:v>PromptRestorer: A Prompting Image Restoration Method with Degradation Perception</x:v>
      </x:c>
      <x:c r="E73" s="75" t="str">
        <x:v>NeurIPS</x:v>
      </x:c>
      <x:c r="F73" s="75" t="str">
        <x:v>Conference</x:v>
      </x:c>
      <x:c r="G73" s="75" t="str">
        <x:v>Yes</x:v>
      </x:c>
      <x:c r="H73" s="75" t="str">
        <x:v>All-in-one restoration</x:v>
      </x:c>
      <x:c r="I73" s="75" t="str">
        <x:v>Natural images</x:v>
      </x:c>
      <x:c r="J73" s="75" t="str">
        <x:v>Implicit corruption process</x:v>
      </x:c>
      <x:c r="K73" s="75" t="str">
        <x:v>Unknown</x:v>
      </x:c>
      <x:c r="L73" s="75" t="str">
        <x:v>Multiple degradation types and levels</x:v>
      </x:c>
      <x:c r="M73" s="75" t="str">
        <x:v>Degradation-aware prompting network</x:v>
      </x:c>
      <x:c r="N73" s="75" t="str">
        <x:v>Implicit</x:v>
      </x:c>
      <x:c r="O73" s="75" t="str">
        <x:v>No</x:v>
      </x:c>
      <x:c r="P73" s="75" t="str">
        <x:v>No</x:v>
      </x:c>
      <x:c r="Q73" s="75" t="str">
        <x:v>No</x:v>
      </x:c>
      <x:c r="R73" s="75" t="str">
        <x:v>No</x:v>
      </x:c>
      <x:c r="S73" s="75" t="str">
        <x:v>Yes</x:v>
      </x:c>
      <x:c r="T73" s="75" t="str">
        <x:v>Yes</x:v>
      </x:c>
      <x:c r="U73" s="75" t="str">
        <x:v>No</x:v>
      </x:c>
      <x:c r="V73" s="75" t="str">
        <x:v>No</x:v>
      </x:c>
      <x:c r="W73" s="75" t="str">
        <x:v>No</x:v>
      </x:c>
      <x:c r="X73" s="75" t="str">
        <x:v>No</x:v>
      </x:c>
      <x:c r="Y73" s="75" t="str">
        <x:v>Yes</x:v>
      </x:c>
      <x:c r="Z73" s="75" t="str">
        <x:v>AI full-text eligibility assessed; selected features verified</x:v>
      </x:c>
      <x:c r="AA73" s="75" t="str">
        <x:v>Pending formal eligibility</x:v>
      </x:c>
      <x:c r="AB73" s="75" t="str">
        <x:v>No</x:v>
      </x:c>
      <x:c r="AC73" s="75" t="str">
        <x:v>Learns degradation prompts that steer a shared restoration branch</x:v>
      </x:c>
      <x:c r="AD73" s="75" t="str">
        <x:v>Degradation perception is not operator posterior estimation and provides no calibrated reliability control</x:v>
      </x:c>
      <x:c r="AE73" s="75" t="str">
        <x:v>https://proceedings.neurips.cc/paper_files/paper/2023/file/1c364d98a5cdc426fd8c76fbb2c10e34-Paper-Conference.pdf</x:v>
      </x:c>
      <x:c r="AF73" s="75" t="str">
        <x:v>Universal prompting baseline | AI pilot 2026-09-16: AI pilot: unclear; human pending. Basis: Official PDF abstract/opening page; a text search for unknown yielded no match. Feature codes remain provisional. Are task models trained separately, and do experiments explicitly address any criterion-3 condition? A missing keyword is not an exclusion reason. Evidence: https://proceedings.neurips.cc/paper_files/paper/2023/file/1c364d98a5cdc426fd8c76fbb2c10e34-Paper-Conference.pdf | AI full-text 2026-09-16: include; human pending. Verified fields: S, T, U. Evidence/version/read extent: screening/full_text_01.json (P072). Unlisted feature codes remain provisional.</x:v>
      </x:c>
    </x:row>
    <x:row r="74" ht="176" customHeight="1">
      <x:c r="A74" s="85" t="str">
        <x:v>P073</x:v>
      </x:c>
      <x:c r="B74" s="86" t="n">
        <x:v>2024</x:v>
      </x:c>
      <x:c r="C74" s="75" t="str">
        <x:v>Jiang et al.</x:v>
      </x:c>
      <x:c r="D74" s="75" t="str">
        <x:v>AutoDIR: Automatic All-in-One Image Restoration with Latent Diffusion</x:v>
      </x:c>
      <x:c r="E74" s="75" t="str">
        <x:v>ECCV</x:v>
      </x:c>
      <x:c r="F74" s="75" t="str">
        <x:v>Conference</x:v>
      </x:c>
      <x:c r="G74" s="75" t="str">
        <x:v>Yes</x:v>
      </x:c>
      <x:c r="H74" s="75" t="str">
        <x:v>All-in-one restoration</x:v>
      </x:c>
      <x:c r="I74" s="75" t="str">
        <x:v>Natural images</x:v>
      </x:c>
      <x:c r="J74" s="75" t="str">
        <x:v>Implicit unknown degradations</x:v>
      </x:c>
      <x:c r="K74" s="75" t="str">
        <x:v>Unknown</x:v>
      </x:c>
      <x:c r="L74" s="75" t="str">
        <x:v>Multiple unknown corruption types</x:v>
      </x:c>
      <x:c r="M74" s="75" t="str">
        <x:v>BIQA plus latent diffusion restoration</x:v>
      </x:c>
      <x:c r="N74" s="75" t="str">
        <x:v>Implicit</x:v>
      </x:c>
      <x:c r="O74" s="75" t="str">
        <x:v>No</x:v>
      </x:c>
      <x:c r="P74" s="75" t="str">
        <x:v>No</x:v>
      </x:c>
      <x:c r="Q74" s="75" t="str">
        <x:v>No</x:v>
      </x:c>
      <x:c r="R74" s="75" t="str">
        <x:v>No</x:v>
      </x:c>
      <x:c r="S74" s="75" t="str">
        <x:v>Yes</x:v>
      </x:c>
      <x:c r="T74" s="75" t="str">
        <x:v>Partial</x:v>
      </x:c>
      <x:c r="U74" s="75" t="str">
        <x:v>Yes</x:v>
      </x:c>
      <x:c r="V74" s="75" t="str">
        <x:v>No</x:v>
      </x:c>
      <x:c r="W74" s="75" t="str">
        <x:v>Partial</x:v>
      </x:c>
      <x:c r="X74" s="75" t="str">
        <x:v>No</x:v>
      </x:c>
      <x:c r="Y74" s="75" t="str">
        <x:v>Yes</x:v>
      </x:c>
      <x:c r="Z74" s="75" t="str">
        <x:v>Abstract inspected; full-text pending</x:v>
      </x:c>
      <x:c r="AA74" s="75" t="str">
        <x:v>Pending formal eligibility</x:v>
      </x:c>
      <x:c r="AB74" s="75" t="str">
        <x:v>Yes</x:v>
      </x:c>
      <x:c r="AC74" s="75" t="str">
        <x:v>Automatically identifies degradations and performs text-controllable latent-diffusion restoration</x:v>
      </x:c>
      <x:c r="AD74" s="75" t="str">
        <x:v>Quality assessment is not physical operator inference; no calibrated support or selective refusal</x:v>
      </x:c>
      <x:c r="AE74" s="75" t="str">
        <x:v>https://doi.org/10.1007/978-3-031-73661-2_19</x:v>
      </x:c>
      <x:c r="AF74" s="75" t="str">
        <x:v>Closest automatic generative all-in-one baseline | AI pilot 2026-09-16: AI pilot: advance; human pending. Basis: Complete author preprint abstract and existing ECCV lineage. Feature codes remain provisional. Which unknown or combined degradations are tested independently of training, and how is structural or semantic fidelity measured? Evidence: https://arxiv.org/abs/2310.10123</x:v>
      </x:c>
    </x:row>
    <x:row r="75" ht="176" customHeight="1">
      <x:c r="A75" s="85" t="str">
        <x:v>P074</x:v>
      </x:c>
      <x:c r="B75" s="86" t="n">
        <x:v>2024</x:v>
      </x:c>
      <x:c r="C75" s="75" t="str">
        <x:v>Luo et al.</x:v>
      </x:c>
      <x:c r="D75" s="75" t="str">
        <x:v>Controlling Vision-Language Models for Multi-Task Image Restoration</x:v>
      </x:c>
      <x:c r="E75" s="75" t="str">
        <x:v>ICLR</x:v>
      </x:c>
      <x:c r="F75" s="75" t="str">
        <x:v>Conference</x:v>
      </x:c>
      <x:c r="G75" s="75" t="str">
        <x:v>Yes</x:v>
      </x:c>
      <x:c r="H75" s="75" t="str">
        <x:v>Universal restoration</x:v>
      </x:c>
      <x:c r="I75" s="75" t="str">
        <x:v>Natural images</x:v>
      </x:c>
      <x:c r="J75" s="75" t="str">
        <x:v>Implicit corruption process</x:v>
      </x:c>
      <x:c r="K75" s="75" t="str">
        <x:v>Unknown</x:v>
      </x:c>
      <x:c r="L75" s="75" t="str">
        <x:v>Multiple known and unseen restoration tasks</x:v>
      </x:c>
      <x:c r="M75" s="75" t="str">
        <x:v>Degradation-aware CLIP conditioning</x:v>
      </x:c>
      <x:c r="N75" s="75" t="str">
        <x:v>Implicit</x:v>
      </x:c>
      <x:c r="O75" s="75" t="str">
        <x:v>No</x:v>
      </x:c>
      <x:c r="P75" s="75" t="str">
        <x:v>No</x:v>
      </x:c>
      <x:c r="Q75" s="75" t="str">
        <x:v>No</x:v>
      </x:c>
      <x:c r="R75" s="75" t="str">
        <x:v>No</x:v>
      </x:c>
      <x:c r="S75" s="75" t="str">
        <x:v>Partial</x:v>
      </x:c>
      <x:c r="T75" s="75" t="str">
        <x:v>Yes</x:v>
      </x:c>
      <x:c r="U75" s="75" t="str">
        <x:v>No</x:v>
      </x:c>
      <x:c r="V75" s="75" t="str">
        <x:v>No</x:v>
      </x:c>
      <x:c r="W75" s="75" t="str">
        <x:v>No</x:v>
      </x:c>
      <x:c r="X75" s="75" t="str">
        <x:v>No</x:v>
      </x:c>
      <x:c r="Y75" s="75" t="str">
        <x:v>Yes</x:v>
      </x:c>
      <x:c r="Z75" s="75" t="str">
        <x:v>AI full-text eligibility assessed; selected features verified</x:v>
      </x:c>
      <x:c r="AA75" s="75" t="str">
        <x:v>Pending formal eligibility</x:v>
      </x:c>
      <x:c r="AB75" s="75" t="str">
        <x:v>Yes</x:v>
      </x:c>
      <x:c r="AC75" s="75" t="str">
        <x:v>DA-CLIP learns degradation and content prompts for universal restoration</x:v>
      </x:c>
      <x:c r="AD75" s="75" t="str">
        <x:v>No explicit physics, operator uncertainty, measurement-support guarantee or abstention</x:v>
      </x:c>
      <x:c r="AE75" s="75" t="str">
        <x:v>https://openreview.net/forum?id=t3vnnLeajU</x:v>
      </x:c>
      <x:c r="AF75" s="75" t="str">
        <x:v>Strong vision-language restoration baseline | AI pilot 2026-09-16: AI pilot: advance; human pending. Basis: Complete author abstract, project page and official ICLR slides title. Feature codes remain provisional. Distinguish a dataset mixing different degradation classes from images with simultaneously compounded corruption. Verify the final citation against the accepted paper. Evidence: https://arxiv.org/abs/2310.01018 | AI full-text 2026-09-16: include; human pending. Verified fields: O, Q, R, S, T, U, X. Evidence/version/read extent: screening/full_text_05.json (P074). Unlisted feature codes remain provisional.</x:v>
      </x:c>
    </x:row>
    <x:row r="76" ht="176" customHeight="1">
      <x:c r="A76" s="85" t="str">
        <x:v>P075</x:v>
      </x:c>
      <x:c r="B76" s="86" t="n">
        <x:v>2024</x:v>
      </x:c>
      <x:c r="C76" s="75" t="str">
        <x:v>Ai et al.</x:v>
      </x:c>
      <x:c r="D76" s="75" t="str">
        <x:v>Multimodal Prompt Perceiver: Empower Adaptiveness, Generalizability and Fidelity for All-in-One Image Restoration</x:v>
      </x:c>
      <x:c r="E76" s="75" t="str">
        <x:v>CVPR</x:v>
      </x:c>
      <x:c r="F76" s="75" t="str">
        <x:v>Conference</x:v>
      </x:c>
      <x:c r="G76" s="75" t="str">
        <x:v>Yes</x:v>
      </x:c>
      <x:c r="H76" s="75" t="str">
        <x:v>All-in-one restoration</x:v>
      </x:c>
      <x:c r="I76" s="75" t="str">
        <x:v>Natural images</x:v>
      </x:c>
      <x:c r="J76" s="75" t="str">
        <x:v>Implicit corruption process</x:v>
      </x:c>
      <x:c r="K76" s="75" t="str">
        <x:v>Unknown</x:v>
      </x:c>
      <x:c r="L76" s="75" t="str">
        <x:v>Nine trained tasks and unseen restoration tasks</x:v>
      </x:c>
      <x:c r="M76" s="75" t="str">
        <x:v>Multimodal prompt perceiver</x:v>
      </x:c>
      <x:c r="N76" s="75" t="str">
        <x:v>Implicit</x:v>
      </x:c>
      <x:c r="O76" s="75" t="str">
        <x:v>No</x:v>
      </x:c>
      <x:c r="P76" s="75" t="str">
        <x:v>No</x:v>
      </x:c>
      <x:c r="Q76" s="75" t="str">
        <x:v>No</x:v>
      </x:c>
      <x:c r="R76" s="75" t="str">
        <x:v>No</x:v>
      </x:c>
      <x:c r="S76" s="75" t="str">
        <x:v>Yes</x:v>
      </x:c>
      <x:c r="T76" s="75" t="str">
        <x:v>Yes</x:v>
      </x:c>
      <x:c r="U76" s="75" t="str">
        <x:v>Yes</x:v>
      </x:c>
      <x:c r="V76" s="75" t="str">
        <x:v>No</x:v>
      </x:c>
      <x:c r="W76" s="75" t="str">
        <x:v>Partial</x:v>
      </x:c>
      <x:c r="X76" s="75" t="str">
        <x:v>No</x:v>
      </x:c>
      <x:c r="Y76" s="75" t="str">
        <x:v>Yes</x:v>
      </x:c>
      <x:c r="Z76" s="75" t="str">
        <x:v>AI full-text eligibility assessed; selected features verified</x:v>
      </x:c>
      <x:c r="AA76" s="75" t="str">
        <x:v>Pending formal eligibility</x:v>
      </x:c>
      <x:c r="AB76" s="75" t="str">
        <x:v>Yes</x:v>
      </x:c>
      <x:c r="AC76" s="75" t="str">
        <x:v>Combines visual and textual diffusion prompts and evaluates zero/few-shot restoration</x:v>
      </x:c>
      <x:c r="AD76" s="75" t="str">
        <x:v>Generalisation is task-level; no operator posterior, calibration, support audit or failure policy</x:v>
      </x:c>
      <x:c r="AE76" s="75" t="str">
        <x:v>https://doi.org/10.1109/CVPR52733.2024.02403</x:v>
      </x:c>
      <x:c r="AF76" s="75" t="str">
        <x:v>High-capacity universal restoration competitor | AI pilot 2026-09-16: AI pilot: advance; human pending. Basis: Complete author preprint abstract. Feature codes remain provisional. What adaptation data or instructions are supplied for unseen tasks, and is fidelity measured against observation-supported detail rather than perceptual appearance? Evidence: https://arxiv.org/abs/2312.02918 | AI full-text 2026-09-16: include; human pending. Verified fields: O, Q, R, S, T, U, W, X. Evidence/version/read extent: screening/full_text_05.json (P075). Unlisted feature codes remain provisional.</x:v>
      </x:c>
    </x:row>
    <x:row r="77" ht="176" customHeight="1">
      <x:c r="A77" s="85" t="str">
        <x:v>P076</x:v>
      </x:c>
      <x:c r="B77" s="86" t="n">
        <x:v>2024</x:v>
      </x:c>
      <x:c r="C77" s="75" t="str">
        <x:v>Conde et al.</x:v>
      </x:c>
      <x:c r="D77" s="75" t="str">
        <x:v>InstructIR: High-Quality Image Restoration Following Human Instructions</x:v>
      </x:c>
      <x:c r="E77" s="75" t="str">
        <x:v>ECCV</x:v>
      </x:c>
      <x:c r="F77" s="75" t="str">
        <x:v>Conference</x:v>
      </x:c>
      <x:c r="G77" s="75" t="str">
        <x:v>Yes</x:v>
      </x:c>
      <x:c r="H77" s="75" t="str">
        <x:v>Instruction-guided restoration</x:v>
      </x:c>
      <x:c r="I77" s="75" t="str">
        <x:v>Natural images</x:v>
      </x:c>
      <x:c r="J77" s="75" t="str">
        <x:v>Prompt-specified degradation</x:v>
      </x:c>
      <x:c r="K77" s="75" t="str">
        <x:v>Unknown</x:v>
      </x:c>
      <x:c r="L77" s="75" t="str">
        <x:v>Multiple degradation types and severities</x:v>
      </x:c>
      <x:c r="M77" s="75" t="str">
        <x:v>Instruction-conditioned transformer</x:v>
      </x:c>
      <x:c r="N77" s="75" t="str">
        <x:v>Implicit</x:v>
      </x:c>
      <x:c r="O77" s="75" t="str">
        <x:v>No</x:v>
      </x:c>
      <x:c r="P77" s="75" t="str">
        <x:v>No</x:v>
      </x:c>
      <x:c r="Q77" s="75" t="str">
        <x:v>No</x:v>
      </x:c>
      <x:c r="R77" s="75" t="str">
        <x:v>No</x:v>
      </x:c>
      <x:c r="S77" s="75" t="str">
        <x:v>Yes</x:v>
      </x:c>
      <x:c r="T77" s="75" t="str">
        <x:v>Yes</x:v>
      </x:c>
      <x:c r="U77" s="75" t="str">
        <x:v>Yes</x:v>
      </x:c>
      <x:c r="V77" s="75" t="str">
        <x:v>No</x:v>
      </x:c>
      <x:c r="W77" s="75" t="str">
        <x:v>No</x:v>
      </x:c>
      <x:c r="X77" s="75" t="str">
        <x:v>No</x:v>
      </x:c>
      <x:c r="Y77" s="75" t="str">
        <x:v>Yes</x:v>
      </x:c>
      <x:c r="Z77" s="75" t="str">
        <x:v>AI full-text eligibility assessed; selected features verified</x:v>
      </x:c>
      <x:c r="AA77" s="75" t="str">
        <x:v>Pending formal eligibility</x:v>
      </x:c>
      <x:c r="AB77" s="75" t="str">
        <x:v>No</x:v>
      </x:c>
      <x:c r="AC77" s="75" t="str">
        <x:v>Uses human-written instructions to control multiple restoration tasks</x:v>
      </x:c>
      <x:c r="AD77" s="75" t="str">
        <x:v>Prompts do not establish the real acquisition operator or evidential support for generated detail</x:v>
      </x:c>
      <x:c r="AE77" s="75" t="str">
        <x:v>https://arxiv.org/abs/2401.16468</x:v>
      </x:c>
      <x:c r="AF77" s="75" t="str">
        <x:v>Language-guided restoration baseline | AI pilot 2026-09-16: AI pilot: advance; human pending. Basis: Complete author preprint abstract. Feature codes remain provisional. Which degradation information is provided by the instruction? Multiple tasks alone do not demonstrate simultaneous compound corruption or reliable recovery under shift. Evidence: https://arxiv.org/abs/2401.16468 | AI full-text 2026-09-16: include; human pending. Verified fields: O, P, Q, R, T, U, X. Evidence/version/read extent: screening/full_text_05.json (P076). Unlisted feature codes remain provisional.</x:v>
      </x:c>
    </x:row>
    <x:row r="78" ht="176" customHeight="1">
      <x:c r="A78" s="85" t="str">
        <x:v>P077</x:v>
      </x:c>
      <x:c r="B78" s="86" t="n">
        <x:v>2024</x:v>
      </x:c>
      <x:c r="C78" s="75" t="str">
        <x:v>Chen et al.</x:v>
      </x:c>
      <x:c r="D78" s="75" t="str">
        <x:v>RestoreAgent: Autonomous Image Restoration Agent via Multimodal Large Language Models</x:v>
      </x:c>
      <x:c r="E78" s="75" t="str">
        <x:v>NeurIPS</x:v>
      </x:c>
      <x:c r="F78" s="75" t="str">
        <x:v>Conference</x:v>
      </x:c>
      <x:c r="G78" s="75" t="str">
        <x:v>Yes</x:v>
      </x:c>
      <x:c r="H78" s="75" t="str">
        <x:v>Compound image restoration</x:v>
      </x:c>
      <x:c r="I78" s="75" t="str">
        <x:v>Synthetic and natural images</x:v>
      </x:c>
      <x:c r="J78" s="75" t="str">
        <x:v>Sequential restoration tool chain</x:v>
      </x:c>
      <x:c r="K78" s="75" t="str">
        <x:v>Unknown</x:v>
      </x:c>
      <x:c r="L78" s="75" t="str">
        <x:v>Up to four simultaneous degradations</x:v>
      </x:c>
      <x:c r="M78" s="75" t="str">
        <x:v>MLLM task planning and model selection</x:v>
      </x:c>
      <x:c r="N78" s="75" t="str">
        <x:v>Implicit</x:v>
      </x:c>
      <x:c r="O78" s="75" t="str">
        <x:v>No</x:v>
      </x:c>
      <x:c r="P78" s="75" t="str">
        <x:v>No</x:v>
      </x:c>
      <x:c r="Q78" s="75" t="str">
        <x:v>No</x:v>
      </x:c>
      <x:c r="R78" s="75" t="str">
        <x:v>No</x:v>
      </x:c>
      <x:c r="S78" s="75" t="str">
        <x:v>Yes</x:v>
      </x:c>
      <x:c r="T78" s="75" t="str">
        <x:v>No</x:v>
      </x:c>
      <x:c r="U78" s="75" t="str">
        <x:v>Yes</x:v>
      </x:c>
      <x:c r="V78" s="75" t="str">
        <x:v>No</x:v>
      </x:c>
      <x:c r="W78" s="75" t="str">
        <x:v>Partial</x:v>
      </x:c>
      <x:c r="X78" s="75" t="str">
        <x:v>Partial</x:v>
      </x:c>
      <x:c r="Y78" s="75" t="str">
        <x:v>Yes</x:v>
      </x:c>
      <x:c r="Z78" s="75" t="str">
        <x:v>AI full-text eligibility assessed; selected features verified</x:v>
      </x:c>
      <x:c r="AA78" s="75" t="str">
        <x:v>Pending formal eligibility</x:v>
      </x:c>
      <x:c r="AB78" s="75" t="str">
        <x:v>Yes</x:v>
      </x:c>
      <x:c r="AC78" s="75" t="str">
        <x:v>Selects degradation tasks, execution order and specialist models for compound restoration</x:v>
      </x:c>
      <x:c r="AD78" s="75" t="str">
        <x:v>Planner choices are not calibrated; no image/operator posterior, measurement support or real surveillance validation</x:v>
      </x:c>
      <x:c r="AE78" s="75" t="str">
        <x:v>https://proceedings.neurips.cc/paper_files/paper/2024/file/c78f639424b8d89ceb4f2efbb4dfe4f4-Paper-Conference.pdf</x:v>
      </x:c>
      <x:c r="AF78" s="75" t="str">
        <x:v>Closest modular compound-restoration planner | AI pilot 2026-09-16: AI pilot: advance; human pending. Basis: Official NeurIPS PDF abstract and opening page. Feature codes remain provisional. How are tool-order decisions evaluated, and can the controller reject unsupported enhancement? Reported quality or expert comparisons are author results, not independent validation. Evidence: https://proceedings.neurips.cc/paper_files/paper/2024/file/c78f639424b8d89ceb4f2efbb4dfe4f4-Paper-Conference.pdf | AI full-text 2026-09-16: include; human pending. Verified fields: O, Q, R, T, U, X. Evidence/version/read extent: screening/full_text_06.json (P077). Unlisted feature codes remain provisional.</x:v>
      </x:c>
    </x:row>
    <x:row r="79" ht="176" customHeight="1">
      <x:c r="A79" s="85" t="str">
        <x:v>P078</x:v>
      </x:c>
      <x:c r="B79" s="86" t="n">
        <x:v>2024</x:v>
      </x:c>
      <x:c r="C79" s="75" t="str">
        <x:v>Ai et al.</x:v>
      </x:c>
      <x:c r="D79" s="75" t="str">
        <x:v>DreamClear: High-Capacity Real-World Image Restoration with Privacy-Safe Dataset Curation</x:v>
      </x:c>
      <x:c r="E79" s="75" t="str">
        <x:v>NeurIPS</x:v>
      </x:c>
      <x:c r="F79" s="75" t="str">
        <x:v>Conference</x:v>
      </x:c>
      <x:c r="G79" s="75" t="str">
        <x:v>Yes</x:v>
      </x:c>
      <x:c r="H79" s="75" t="str">
        <x:v>Real-world restoration</x:v>
      </x:c>
      <x:c r="I79" s="75" t="str">
        <x:v>Natural images</x:v>
      </x:c>
      <x:c r="J79" s="75" t="str">
        <x:v>Implicit real degradation</x:v>
      </x:c>
      <x:c r="K79" s="75" t="str">
        <x:v>Unknown</x:v>
      </x:c>
      <x:c r="L79" s="75" t="str">
        <x:v>Mixed real-world degradation</x:v>
      </x:c>
      <x:c r="M79" s="75" t="str">
        <x:v>Large conditional diffusion model</x:v>
      </x:c>
      <x:c r="N79" s="75" t="str">
        <x:v>Implicit</x:v>
      </x:c>
      <x:c r="O79" s="75" t="str">
        <x:v>No</x:v>
      </x:c>
      <x:c r="P79" s="75" t="str">
        <x:v>No</x:v>
      </x:c>
      <x:c r="Q79" s="75" t="str">
        <x:v>No</x:v>
      </x:c>
      <x:c r="R79" s="75" t="str">
        <x:v>No</x:v>
      </x:c>
      <x:c r="S79" s="75" t="str">
        <x:v>Yes</x:v>
      </x:c>
      <x:c r="T79" s="75" t="str">
        <x:v>Yes</x:v>
      </x:c>
      <x:c r="U79" s="75" t="str">
        <x:v>Yes</x:v>
      </x:c>
      <x:c r="V79" s="75" t="str">
        <x:v>No</x:v>
      </x:c>
      <x:c r="W79" s="75" t="str">
        <x:v>Partial</x:v>
      </x:c>
      <x:c r="X79" s="75" t="str">
        <x:v>No</x:v>
      </x:c>
      <x:c r="Y79" s="75" t="str">
        <x:v>Yes</x:v>
      </x:c>
      <x:c r="Z79" s="75" t="str">
        <x:v>AI full-text eligibility assessed; selected features verified</x:v>
      </x:c>
      <x:c r="AA79" s="75" t="str">
        <x:v>Pending formal eligibility</x:v>
      </x:c>
      <x:c r="AB79" s="75" t="str">
        <x:v>Yes</x:v>
      </x:c>
      <x:c r="AC79" s="75" t="str">
        <x:v>Scales generative restoration using curated real-world training pairs</x:v>
      </x:c>
      <x:c r="AD79" s="75" t="str">
        <x:v>Perceptual realism can introduce unsupported detail; no operator UQ, calibration or abstention</x:v>
      </x:c>
      <x:c r="AE79" s="75" t="str">
        <x:v>https://proceedings.neurips.cc/paper_files/paper/2024/file/6452474601429509f3035dc81c233226-Paper-Conference.pdf</x:v>
      </x:c>
      <x:c r="AF79" s="75" t="str">
        <x:v>Generative fidelity-risk baseline | AI pilot 2026-09-16: AI pilot: advance; human pending. Basis: Complete author preprint abstract; seed proceedings PDF retrieval failed. Feature codes remain provisional. Verify degradation composition and real-data transfer. Dataset-generation or semantic-quality claims do not establish reconstruction uncertainty or recovered truth. Evidence: https://arxiv.org/abs/2410.18666 | AI full-text 2026-09-16: include; human pending. Verified fields: O, Q, R, T, U, W, X. Evidence/version/read extent: screening/full_text_06.json (P078). Unlisted feature codes remain provisional.</x:v>
      </x:c>
    </x:row>
    <x:row r="80" ht="176" customHeight="1">
      <x:c r="A80" s="85" t="str">
        <x:v>P079</x:v>
      </x:c>
      <x:c r="B80" s="86" t="n">
        <x:v>2024</x:v>
      </x:c>
      <x:c r="C80" s="75" t="str">
        <x:v>Tu et al.</x:v>
      </x:c>
      <x:c r="D80" s="75" t="str">
        <x:v>Taming Generative Diffusion Prior for Universal Blind Image Restoration</x:v>
      </x:c>
      <x:c r="E80" s="75" t="str">
        <x:v>NeurIPS</x:v>
      </x:c>
      <x:c r="F80" s="75" t="str">
        <x:v>Conference</x:v>
      </x:c>
      <x:c r="G80" s="75" t="str">
        <x:v>Yes</x:v>
      </x:c>
      <x:c r="H80" s="75" t="str">
        <x:v>Universal blind restoration</x:v>
      </x:c>
      <x:c r="I80" s="75" t="str">
        <x:v>Natural images</x:v>
      </x:c>
      <x:c r="J80" s="75" t="str">
        <x:v>Optimisable convolutional surrogate</x:v>
      </x:c>
      <x:c r="K80" s="75" t="str">
        <x:v>Unknown</x:v>
      </x:c>
      <x:c r="L80" s="75" t="str">
        <x:v>Multiple and compound degradation</x:v>
      </x:c>
      <x:c r="M80" s="75" t="str">
        <x:v>Blind diffusion with adaptive kernel</x:v>
      </x:c>
      <x:c r="N80" s="75" t="str">
        <x:v>Soft likelihood</x:v>
      </x:c>
      <x:c r="O80" s="75" t="str">
        <x:v>Yes</x:v>
      </x:c>
      <x:c r="P80" s="75" t="str">
        <x:v>Yes</x:v>
      </x:c>
      <x:c r="Q80" s="75" t="str">
        <x:v>No</x:v>
      </x:c>
      <x:c r="R80" s="75" t="str">
        <x:v>No</x:v>
      </x:c>
      <x:c r="S80" s="75" t="str">
        <x:v>Yes</x:v>
      </x:c>
      <x:c r="T80" s="75" t="str">
        <x:v>Yes</x:v>
      </x:c>
      <x:c r="U80" s="75" t="str">
        <x:v>Yes</x:v>
      </x:c>
      <x:c r="V80" s="75" t="str">
        <x:v>No</x:v>
      </x:c>
      <x:c r="W80" s="75" t="str">
        <x:v>Partial</x:v>
      </x:c>
      <x:c r="X80" s="75" t="str">
        <x:v>No</x:v>
      </x:c>
      <x:c r="Y80" s="75" t="str">
        <x:v>Yes</x:v>
      </x:c>
      <x:c r="Z80" s="75" t="str">
        <x:v>AI full-text eligibility assessed; selected features verified</x:v>
      </x:c>
      <x:c r="AA80" s="75" t="str">
        <x:v>Pending formal eligibility</x:v>
      </x:c>
      <x:c r="AB80" s="75" t="str">
        <x:v>Yes</x:v>
      </x:c>
      <x:c r="AC80" s="75" t="str">
        <x:v>BIR-D optimises a degradation kernel during diffusion and demonstrates complex degradations</x:v>
      </x:c>
      <x:c r="AD80" s="75" t="str">
        <x:v>Single surrogate kernel cannot identify a full camera/codec chain; uncertainty is not calibrated</x:v>
      </x:c>
      <x:c r="AE80" s="75" t="str">
        <x:v>https://proceedings.neurips.cc/paper_files/paper/2024/hash/25869dbf7682272357bc2cbbf860e1c8-Abstract-Conference.html</x:v>
      </x:c>
      <x:c r="AF80" s="75" t="str">
        <x:v>Major threat to broad universal-blind claims | AI pilot 2026-09-16: AI pilot: advance; human pending. Basis: Complete official NeurIPS abstract. Feature codes remain provisional. When is a convolutional proxy insufficient for nonlinear or codec degradation, and how are ambiguity and correction bias assessed? Evidence: https://proceedings.neurips.cc/paper_files/paper/2024/hash/25869dbf7682272357bc2cbbf860e1c8-Abstract-Conference.html | AI full-text 2026-09-16: include; human pending. Verified fields: O, P, Q, R, T, U, X. Evidence/version/read extent: screening/full_text_05.json (P079). Unlisted feature codes remain provisional.</x:v>
      </x:c>
    </x:row>
    <x:row r="81" ht="176" customHeight="1">
      <x:c r="A81" s="85" t="str">
        <x:v>P080</x:v>
      </x:c>
      <x:c r="B81" s="86" t="n">
        <x:v>2023</x:v>
      </x:c>
      <x:c r="C81" s="75" t="str">
        <x:v>Fei et al.</x:v>
      </x:c>
      <x:c r="D81" s="75" t="str">
        <x:v>Generative Diffusion Prior for Unified Image Restoration and Enhancement</x:v>
      </x:c>
      <x:c r="E81" s="75" t="str">
        <x:v>CVPR</x:v>
      </x:c>
      <x:c r="F81" s="75" t="str">
        <x:v>Conference</x:v>
      </x:c>
      <x:c r="G81" s="75" t="str">
        <x:v>Yes</x:v>
      </x:c>
      <x:c r="H81" s="75" t="str">
        <x:v>Unified restoration</x:v>
      </x:c>
      <x:c r="I81" s="75" t="str">
        <x:v>Natural images</x:v>
      </x:c>
      <x:c r="J81" s="75" t="str">
        <x:v>Task-specific parametric degradation</x:v>
      </x:c>
      <x:c r="K81" s="75" t="str">
        <x:v>Unknown</x:v>
      </x:c>
      <x:c r="L81" s="75" t="str">
        <x:v>Multiple restoration and enhancement tasks</x:v>
      </x:c>
      <x:c r="M81" s="75" t="str">
        <x:v>Diffusion prior with parameter optimisation</x:v>
      </x:c>
      <x:c r="N81" s="75" t="str">
        <x:v>Soft likelihood</x:v>
      </x:c>
      <x:c r="O81" s="75" t="str">
        <x:v>Yes</x:v>
      </x:c>
      <x:c r="P81" s="75" t="str">
        <x:v>Yes</x:v>
      </x:c>
      <x:c r="Q81" s="75" t="str">
        <x:v>No</x:v>
      </x:c>
      <x:c r="R81" s="75" t="str">
        <x:v>No</x:v>
      </x:c>
      <x:c r="S81" s="75" t="str">
        <x:v>Partial</x:v>
      </x:c>
      <x:c r="T81" s="75" t="str">
        <x:v>Yes</x:v>
      </x:c>
      <x:c r="U81" s="75" t="str">
        <x:v>Yes</x:v>
      </x:c>
      <x:c r="V81" s="75" t="str">
        <x:v>No</x:v>
      </x:c>
      <x:c r="W81" s="75" t="str">
        <x:v>No</x:v>
      </x:c>
      <x:c r="X81" s="75" t="str">
        <x:v>No</x:v>
      </x:c>
      <x:c r="Y81" s="75" t="str">
        <x:v>Yes</x:v>
      </x:c>
      <x:c r="Z81" s="75" t="str">
        <x:v>AI full-text eligibility assessed; selected features verified</x:v>
      </x:c>
      <x:c r="AA81" s="75" t="str">
        <x:v>Pending formal eligibility</x:v>
      </x:c>
      <x:c r="AB81" s="75" t="str">
        <x:v>Yes</x:v>
      </x:c>
      <x:c r="AC81" s="75" t="str">
        <x:v>Optimises degradation parameters while using a shared generative diffusion prior</x:v>
      </x:c>
      <x:c r="AD81" s="75" t="str">
        <x:v>Simplified degradation functions, slow inference and no calibrated operator/image reliability</x:v>
      </x:c>
      <x:c r="AE81" s="75" t="str">
        <x:v>https://openaccess.thecvf.com/content/CVPR2023/html/Fei_Generative_Diffusion_Prior_for_Unified_Image_Restoration_and_Enhancement_CVPR_2023_paper.html</x:v>
      </x:c>
      <x:c r="AF81" s="75" t="str">
        <x:v>Early unified blind-diffusion baseline | AI pilot 2026-09-16: AI pilot: advance; human pending. Basis: Complete author preprint abstract. Feature codes remain provisional. Identify predefined operator families, parameter bounds and out-of-distribution tests. Blind parameter fitting is not arbitrary forward-model discovery. Evidence: https://arxiv.org/abs/2304.01247 | AI full-text 2026-09-16: include; human pending. Verified fields: O, P, Q, R, S, T, U, X. Evidence/version/read extent: screening/full_text_04.json (P080). Unlisted feature codes remain provisional.</x:v>
      </x:c>
    </x:row>
    <x:row r="82" ht="176" customHeight="1">
      <x:c r="A82" s="85" t="str">
        <x:v>P081</x:v>
      </x:c>
      <x:c r="B82" s="86" t="n">
        <x:v>2024</x:v>
      </x:c>
      <x:c r="C82" s="75" t="str">
        <x:v>Zhussip et al.</x:v>
      </x:c>
      <x:c r="D82" s="75" t="str">
        <x:v>A Modular Conditional Diffusion Framework for Image Reconstruction</x:v>
      </x:c>
      <x:c r="E82" s="75" t="str">
        <x:v>NeurIPS</x:v>
      </x:c>
      <x:c r="F82" s="75" t="str">
        <x:v>Conference</x:v>
      </x:c>
      <x:c r="G82" s="75" t="str">
        <x:v>Yes</x:v>
      </x:c>
      <x:c r="H82" s="75" t="str">
        <x:v>Multiple restoration tasks</x:v>
      </x:c>
      <x:c r="I82" s="75" t="str">
        <x:v>Natural images</x:v>
      </x:c>
      <x:c r="J82" s="75" t="str">
        <x:v>Task-dependent operator</x:v>
      </x:c>
      <x:c r="K82" s="75" t="str">
        <x:v>Known</x:v>
      </x:c>
      <x:c r="L82" s="75" t="str">
        <x:v>Task transfer and computational burden</x:v>
      </x:c>
      <x:c r="M82" s="75" t="str">
        <x:v>Modular conditional diffusion</x:v>
      </x:c>
      <x:c r="N82" s="75" t="str">
        <x:v>Implicit/conditional</x:v>
      </x:c>
      <x:c r="O82" s="75" t="str">
        <x:v>No</x:v>
      </x:c>
      <x:c r="P82" s="75" t="str">
        <x:v>Yes</x:v>
      </x:c>
      <x:c r="Q82" s="75" t="str">
        <x:v>No</x:v>
      </x:c>
      <x:c r="R82" s="75" t="str">
        <x:v>No</x:v>
      </x:c>
      <x:c r="S82" s="75" t="str">
        <x:v>Yes</x:v>
      </x:c>
      <x:c r="T82" s="75" t="str">
        <x:v>No</x:v>
      </x:c>
      <x:c r="U82" s="75" t="str">
        <x:v>Yes</x:v>
      </x:c>
      <x:c r="V82" s="75" t="str">
        <x:v>No</x:v>
      </x:c>
      <x:c r="W82" s="75" t="str">
        <x:v>No</x:v>
      </x:c>
      <x:c r="X82" s="75" t="str">
        <x:v>No</x:v>
      </x:c>
      <x:c r="Y82" s="75" t="str">
        <x:v>Yes</x:v>
      </x:c>
      <x:c r="Z82" s="75" t="str">
        <x:v>AI full-text eligibility assessed; selected features verified</x:v>
      </x:c>
      <x:c r="AA82" s="75" t="str">
        <x:v>Pending formal eligibility</x:v>
      </x:c>
      <x:c r="AB82" s="75" t="str">
        <x:v>No</x:v>
      </x:c>
      <x:c r="AC82" s="75" t="str">
        <x:v>Combines pretrained restoration networks with a small task module and diffusion prior</x:v>
      </x:c>
      <x:c r="AD82" s="75" t="str">
        <x:v>Does not infer mismatched operators or certify generated detail</x:v>
      </x:c>
      <x:c r="AE82" s="75" t="str">
        <x:v>https://proceedings.neurips.cc/paper_files/paper/2024/hash/b213d9a999b82cb6fcd03a0d5a7498be-Abstract-Conference.html</x:v>
      </x:c>
      <x:c r="AF82" s="75" t="str">
        <x:v>Efficient diffusion restoration baseline | AI pilot 2026-09-16: AI pilot: advance; human pending. Basis: Complete official NeurIPS abstract. Feature codes remain provisional. What training is required per degradation, and are unseen operators or joint acquisition errors evaluated independently? Evidence: https://proceedings.neurips.cc/paper_files/paper/2024/hash/b213d9a999b82cb6fcd03a0d5a7498be-Abstract-Conference.html | AI full-text 2026-09-16: include; human pending. Verified fields: O, P, Q, R, S, T, U, X. Evidence/version/read extent: screening/full_text_05.json (P081). Unlisted feature codes remain provisional.</x:v>
      </x:c>
    </x:row>
    <x:row r="83" ht="176" customHeight="1">
      <x:c r="A83" s="85" t="str">
        <x:v>P082</x:v>
      </x:c>
      <x:c r="B83" s="86" t="n">
        <x:v>2024</x:v>
      </x:c>
      <x:c r="C83" s="75" t="str">
        <x:v>Li &amp; Pereira</x:v>
      </x:c>
      <x:c r="D83" s="75" t="str">
        <x:v>Solving Inverse Problems via Diffusion Optimal Control</x:v>
      </x:c>
      <x:c r="E83" s="75" t="str">
        <x:v>NeurIPS</x:v>
      </x:c>
      <x:c r="F83" s="75" t="str">
        <x:v>Conference</x:v>
      </x:c>
      <x:c r="G83" s="75" t="str">
        <x:v>Yes</x:v>
      </x:c>
      <x:c r="H83" s="75" t="str">
        <x:v>General inverse imaging</x:v>
      </x:c>
      <x:c r="I83" s="75" t="str">
        <x:v>Natural images</x:v>
      </x:c>
      <x:c r="J83" s="75" t="str">
        <x:v>Differentiable forward operator</x:v>
      </x:c>
      <x:c r="K83" s="75" t="str">
        <x:v>Known</x:v>
      </x:c>
      <x:c r="L83" s="75" t="str">
        <x:v>Likelihood and score approximation</x:v>
      </x:c>
      <x:c r="M83" s="75" t="str">
        <x:v>Diffusion optimal control</x:v>
      </x:c>
      <x:c r="N83" s="75" t="str">
        <x:v>Hard/iterative</x:v>
      </x:c>
      <x:c r="O83" s="75" t="str">
        <x:v>No</x:v>
      </x:c>
      <x:c r="P83" s="75" t="str">
        <x:v>Partial</x:v>
      </x:c>
      <x:c r="Q83" s="75" t="str">
        <x:v>No</x:v>
      </x:c>
      <x:c r="R83" s="75" t="str">
        <x:v>No</x:v>
      </x:c>
      <x:c r="S83" s="75" t="str">
        <x:v>Partial</x:v>
      </x:c>
      <x:c r="T83" s="75" t="str">
        <x:v>No</x:v>
      </x:c>
      <x:c r="U83" s="75" t="str">
        <x:v>No</x:v>
      </x:c>
      <x:c r="V83" s="75" t="str">
        <x:v>No</x:v>
      </x:c>
      <x:c r="W83" s="75" t="str">
        <x:v>No</x:v>
      </x:c>
      <x:c r="X83" s="75" t="str">
        <x:v>No</x:v>
      </x:c>
      <x:c r="Y83" s="75" t="str">
        <x:v>Yes</x:v>
      </x:c>
      <x:c r="Z83" s="75" t="str">
        <x:v>AI full-text eligibility assessed; selected features verified</x:v>
      </x:c>
      <x:c r="AA83" s="75" t="str">
        <x:v>Pending formal eligibility</x:v>
      </x:c>
      <x:c r="AB83" s="75" t="str">
        <x:v>No</x:v>
      </x:c>
      <x:c r="AC83" s="75" t="str">
        <x:v>Reframes diffusion inversion as discrete optimal control for linear and nonlinear operators</x:v>
      </x:c>
      <x:c r="AD83" s="75" t="str">
        <x:v>Assumes a differentiable usable operator; no blind compound mismatch or calibrated failure detection</x:v>
      </x:c>
      <x:c r="AE83" s="75" t="str">
        <x:v>https://proceedings.neurips.cc/paper_files/paper/2024/hash/86655bc516148e311bcfcf88f1744de7-Abstract-Conference.html</x:v>
      </x:c>
      <x:c r="AF83" s="75" t="str">
        <x:v>General inverse-solver baseline | AI pilot 2026-09-16: AI pilot: unclear; human pending. Basis: Complete official NeurIPS abstract. Feature codes remain provisional. Does the full paper explicitly study operator/prior misspecification, uncertainty reliability or measurement-supported detail? Otherwise retain as a solver baseline outside the primary synthesis. Evidence: https://proceedings.neurips.cc/paper_files/paper/2024/hash/86655bc516148e311bcfcf88f1744de7-Abstract-Conference.html | AI full-text 2026-09-16: include; human pending. Verified fields: P, Q, R, S, T. Evidence/version/read extent: screening/full_text_01.json (P082). Unlisted feature codes remain provisional.</x:v>
      </x:c>
    </x:row>
    <x:row r="84" ht="176" customHeight="1">
      <x:c r="A84" s="85" t="str">
        <x:v>P083</x:v>
      </x:c>
      <x:c r="B84" s="86" t="n">
        <x:v>2024</x:v>
      </x:c>
      <x:c r="C84" s="75" t="str">
        <x:v>Xu &amp; Chi</x:v>
      </x:c>
      <x:c r="D84" s="75" t="str">
        <x:v>Provably Robust Score-Based Diffusion Posterior Sampling for Plug-and-Play Image Reconstruction</x:v>
      </x:c>
      <x:c r="E84" s="75" t="str">
        <x:v>NeurIPS</x:v>
      </x:c>
      <x:c r="F84" s="75" t="str">
        <x:v>Conference</x:v>
      </x:c>
      <x:c r="G84" s="75" t="str">
        <x:v>Yes</x:v>
      </x:c>
      <x:c r="H84" s="75" t="str">
        <x:v>General inverse imaging</x:v>
      </x:c>
      <x:c r="I84" s="75" t="str">
        <x:v>Natural images</x:v>
      </x:c>
      <x:c r="J84" s="75" t="str">
        <x:v>General nonlinear operator</x:v>
      </x:c>
      <x:c r="K84" s="75" t="str">
        <x:v>Known</x:v>
      </x:c>
      <x:c r="L84" s="75" t="str">
        <x:v>Noise and score approximation</x:v>
      </x:c>
      <x:c r="M84" s="75" t="str">
        <x:v>Diffusion plug-and-play posterior sampling</x:v>
      </x:c>
      <x:c r="N84" s="75" t="str">
        <x:v>Hard/iterative</x:v>
      </x:c>
      <x:c r="O84" s="75" t="str">
        <x:v>No</x:v>
      </x:c>
      <x:c r="P84" s="75" t="str">
        <x:v>Yes</x:v>
      </x:c>
      <x:c r="Q84" s="75" t="str">
        <x:v>No</x:v>
      </x:c>
      <x:c r="R84" s="75" t="str">
        <x:v>No</x:v>
      </x:c>
      <x:c r="S84" s="75" t="str">
        <x:v>Partial</x:v>
      </x:c>
      <x:c r="T84" s="75" t="str">
        <x:v>No</x:v>
      </x:c>
      <x:c r="U84" s="75" t="str">
        <x:v>No</x:v>
      </x:c>
      <x:c r="V84" s="75" t="str">
        <x:v>No</x:v>
      </x:c>
      <x:c r="W84" s="75" t="str">
        <x:v>No</x:v>
      </x:c>
      <x:c r="X84" s="75" t="str">
        <x:v>No</x:v>
      </x:c>
      <x:c r="Y84" s="75" t="str">
        <x:v>Yes</x:v>
      </x:c>
      <x:c r="Z84" s="75" t="str">
        <x:v>AI full-text eligibility assessed; selected features verified</x:v>
      </x:c>
      <x:c r="AA84" s="75" t="str">
        <x:v>Pending formal eligibility</x:v>
      </x:c>
      <x:c r="AB84" s="75" t="str">
        <x:v>Yes</x:v>
      </x:c>
      <x:c r="AC84" s="75" t="str">
        <x:v>Provides asymptotic and non-asymptotic robustness guarantees for nonlinear inverse problems</x:v>
      </x:c>
      <x:c r="AD84" s="75" t="str">
        <x:v>Robustness assumes the likelihood operator; no unknown acquisition chain, empirical dual calibration or abstention</x:v>
      </x:c>
      <x:c r="AE84" s="75" t="str">
        <x:v>https://proceedings.neurips.cc/paper_files/paper/2024/hash/3fa2d2b637122007845a2fbb7c21453b-Abstract-Conference.html</x:v>
      </x:c>
      <x:c r="AF84" s="75" t="str">
        <x:v>Important theoretical robustness comparator | AI pilot 2026-09-16: AI pilot: advance; human pending. Basis: Complete official NeurIPS abstract. Feature codes remain provisional. Specify whether robustness concerns score/sampling approximation, physical-operator error or both; do not interpret the title as arbitrary acquisition-mismatch tolerance. Evidence: https://proceedings.neurips.cc/paper_files/paper/2024/hash/3fa2d2b637122007845a2fbb7c21453b-Abstract-Conference.html | AI full-text 2026-09-16: include; human pending. Verified fields: O, P, Q, R, T, X. Evidence/version/read extent: screening/full_text_05.json (P083). Unlisted feature codes remain provisional.</x:v>
      </x:c>
    </x:row>
    <x:row r="85" ht="176" customHeight="1">
      <x:c r="A85" s="85" t="str">
        <x:v>P084</x:v>
      </x:c>
      <x:c r="B85" s="86" t="n">
        <x:v>2024</x:v>
      </x:c>
      <x:c r="C85" s="75" t="str">
        <x:v>Zhang et al.</x:v>
      </x:c>
      <x:c r="D85" s="75" t="str">
        <x:v>Unleashing the Denoising Capability of Diffusion Prior for Solving Inverse Problems</x:v>
      </x:c>
      <x:c r="E85" s="75" t="str">
        <x:v>NeurIPS</x:v>
      </x:c>
      <x:c r="F85" s="75" t="str">
        <x:v>Conference</x:v>
      </x:c>
      <x:c r="G85" s="75" t="str">
        <x:v>Yes</x:v>
      </x:c>
      <x:c r="H85" s="75" t="str">
        <x:v>General inverse imaging</x:v>
      </x:c>
      <x:c r="I85" s="75" t="str">
        <x:v>Natural images</x:v>
      </x:c>
      <x:c r="J85" s="75" t="str">
        <x:v>Linear and nonlinear operator</x:v>
      </x:c>
      <x:c r="K85" s="75" t="str">
        <x:v>Known</x:v>
      </x:c>
      <x:c r="L85" s="75" t="str">
        <x:v>Noisy measurements</x:v>
      </x:c>
      <x:c r="M85" s="75" t="str">
        <x:v>Projected diffusion optimisation</x:v>
      </x:c>
      <x:c r="N85" s="75" t="str">
        <x:v>Hard/iterative</x:v>
      </x:c>
      <x:c r="O85" s="75" t="str">
        <x:v>No</x:v>
      </x:c>
      <x:c r="P85" s="75" t="str">
        <x:v>No</x:v>
      </x:c>
      <x:c r="Q85" s="75" t="str">
        <x:v>No</x:v>
      </x:c>
      <x:c r="R85" s="75" t="str">
        <x:v>No</x:v>
      </x:c>
      <x:c r="S85" s="75" t="str">
        <x:v>Partial</x:v>
      </x:c>
      <x:c r="T85" s="75" t="str">
        <x:v>No</x:v>
      </x:c>
      <x:c r="U85" s="75" t="str">
        <x:v>No</x:v>
      </x:c>
      <x:c r="V85" s="75" t="str">
        <x:v>No</x:v>
      </x:c>
      <x:c r="W85" s="75" t="str">
        <x:v>No</x:v>
      </x:c>
      <x:c r="X85" s="75" t="str">
        <x:v>No</x:v>
      </x:c>
      <x:c r="Y85" s="75" t="str">
        <x:v>Yes</x:v>
      </x:c>
      <x:c r="Z85" s="75" t="str">
        <x:v>AI full-text eligibility assessed; selected features verified</x:v>
      </x:c>
      <x:c r="AA85" s="75" t="str">
        <x:v>Pending formal eligibility</x:v>
      </x:c>
      <x:c r="AB85" s="75" t="str">
        <x:v>No</x:v>
      </x:c>
      <x:c r="AC85" s="75" t="str">
        <x:v>ProjDiff combines projection-based data consistency with diffusion denoising</x:v>
      </x:c>
      <x:c r="AD85" s="75" t="str">
        <x:v>Known-operator method without mismatch recovery, calibrated UQ or support-based refusal</x:v>
      </x:c>
      <x:c r="AE85" s="75" t="str">
        <x:v>https://proceedings.neurips.cc/paper_files/paper/2024/hash/54fa8255cdf30736ecad38e842725e7f-Abstract-Conference.html</x:v>
      </x:c>
      <x:c r="AF85" s="75" t="str">
        <x:v>Data-consistency baseline | AI pilot 2026-09-16: AI pilot: unclear; human pending. Basis: Complete official NeurIPS abstract. Feature codes remain provisional. Does the imaging evaluation explicitly meet criterion 3? Noise handling or multiple inverse operators alone does not establish blind reconstruction or uncertainty calibration. Evidence: https://proceedings.neurips.cc/paper_files/paper/2024/hash/54fa8255cdf30736ecad38e842725e7f-Abstract-Conference.html | AI full-text 2026-09-16: include; human pending. Verified fields: P, Q, R, S, T. Evidence/version/read extent: screening/full_text_01.json (P084). Unlisted feature codes remain provisional.</x:v>
      </x:c>
    </x:row>
    <x:row r="86" ht="176" customHeight="1">
      <x:c r="A86" s="85" t="str">
        <x:v>P085</x:v>
      </x:c>
      <x:c r="B86" s="86" t="n">
        <x:v>2025</x:v>
      </x:c>
      <x:c r="C86" s="75" t="str">
        <x:v>Elata et al.</x:v>
      </x:c>
      <x:c r="D86" s="75" t="str">
        <x:v>InvFusion: Bridging Supervised and Zero-shot Diffusion for Inverse Problems</x:v>
      </x:c>
      <x:c r="E86" s="75" t="str">
        <x:v>NeurIPS</x:v>
      </x:c>
      <x:c r="F86" s="75" t="str">
        <x:v>Conference</x:v>
      </x:c>
      <x:c r="G86" s="75" t="str">
        <x:v>Yes</x:v>
      </x:c>
      <x:c r="H86" s="75" t="str">
        <x:v>General inverse imaging</x:v>
      </x:c>
      <x:c r="I86" s="75" t="str">
        <x:v>Natural images</x:v>
      </x:c>
      <x:c r="J86" s="75" t="str">
        <x:v>Linear degradation operator</x:v>
      </x:c>
      <x:c r="K86" s="75" t="str">
        <x:v>Known</x:v>
      </x:c>
      <x:c r="L86" s="75" t="str">
        <x:v>Test-time degradation variation</x:v>
      </x:c>
      <x:c r="M86" s="75" t="str">
        <x:v>Operator-conditioned diffusion posterior sampler</x:v>
      </x:c>
      <x:c r="N86" s="75" t="str">
        <x:v>Hard/conditional</x:v>
      </x:c>
      <x:c r="O86" s="75" t="str">
        <x:v>No</x:v>
      </x:c>
      <x:c r="P86" s="75" t="str">
        <x:v>Yes</x:v>
      </x:c>
      <x:c r="Q86" s="75" t="str">
        <x:v>No</x:v>
      </x:c>
      <x:c r="R86" s="75" t="str">
        <x:v>No</x:v>
      </x:c>
      <x:c r="S86" s="75" t="str">
        <x:v>Yes</x:v>
      </x:c>
      <x:c r="T86" s="75" t="str">
        <x:v>No</x:v>
      </x:c>
      <x:c r="U86" s="75" t="str">
        <x:v>Yes</x:v>
      </x:c>
      <x:c r="V86" s="75" t="str">
        <x:v>No</x:v>
      </x:c>
      <x:c r="W86" s="75" t="str">
        <x:v>Partial</x:v>
      </x:c>
      <x:c r="X86" s="75" t="str">
        <x:v>No</x:v>
      </x:c>
      <x:c r="Y86" s="75" t="str">
        <x:v>Yes</x:v>
      </x:c>
      <x:c r="Z86" s="75" t="str">
        <x:v>AI full-text eligibility assessed; selected features verified</x:v>
      </x:c>
      <x:c r="AA86" s="75" t="str">
        <x:v>Pending formal eligibility</x:v>
      </x:c>
      <x:c r="AB86" s="75" t="str">
        <x:v>Yes</x:v>
      </x:c>
      <x:c r="AC86" s="75" t="str">
        <x:v>Injects the degradation operator into a trained diffusion denoiser while retaining test-time flexibility</x:v>
      </x:c>
      <x:c r="AD86" s="75" t="str">
        <x:v>Requires an available operator; no blind compound chain, operator UQ, support audit or abstention</x:v>
      </x:c>
      <x:c r="AE86" s="75" t="str">
        <x:v>https://proceedings.neurips.cc/paper_files/paper/2025/hash/33367b9ff199d26280db6cf539d1125c-Abstract-Conference.html</x:v>
      </x:c>
      <x:c r="AF86" s="75" t="str">
        <x:v>Strong operator-conditioned posterior baseline | AI pilot 2026-09-16: AI pilot: advance; human pending. Basis: Complete official NeurIPS abstract. Feature codes remain provisional. Distinguish a supplied new operator from blind estimation and uncertainty over operators; extract adaptation cost, posterior accuracy and out-of-family tests. Evidence: https://proceedings.neurips.cc/paper_files/paper/2025/hash/33367b9ff199d26280db6cf539d1125c-Abstract-Conference.html | AI full-text 2026-09-16: include; human pending. Verified fields: O, P, Q, R, S, T, U, W, X. Evidence/version/read extent: screening/full_text_05.json (P085). Unlisted feature codes remain provisional.</x:v>
      </x:c>
    </x:row>
    <x:row r="87" ht="176" customHeight="1">
      <x:c r="A87" s="85" t="str">
        <x:v>P086</x:v>
      </x:c>
      <x:c r="B87" s="86" t="n">
        <x:v>2025</x:v>
      </x:c>
      <x:c r="C87" s="75" t="str">
        <x:v>Erbach et al.</x:v>
      </x:c>
      <x:c r="D87" s="75" t="str">
        <x:v>Solving Inverse Problems with FLAIR</x:v>
      </x:c>
      <x:c r="E87" s="75" t="str">
        <x:v>NeurIPS</x:v>
      </x:c>
      <x:c r="F87" s="75" t="str">
        <x:v>Conference</x:v>
      </x:c>
      <x:c r="G87" s="75" t="str">
        <x:v>Yes</x:v>
      </x:c>
      <x:c r="H87" s="75" t="str">
        <x:v>General inverse imaging</x:v>
      </x:c>
      <x:c r="I87" s="75" t="str">
        <x:v>Natural images</x:v>
      </x:c>
      <x:c r="J87" s="75" t="str">
        <x:v>Differentiable degradation</x:v>
      </x:c>
      <x:c r="K87" s="75" t="str">
        <x:v>Known</x:v>
      </x:c>
      <x:c r="L87" s="75" t="str">
        <x:v>Likelihood/prior conflict</x:v>
      </x:c>
      <x:c r="M87" s="75" t="str">
        <x:v>Flow-based variational inversion</x:v>
      </x:c>
      <x:c r="N87" s="75" t="str">
        <x:v>Hard/variational</x:v>
      </x:c>
      <x:c r="O87" s="75" t="str">
        <x:v>No</x:v>
      </x:c>
      <x:c r="P87" s="75" t="str">
        <x:v>Yes</x:v>
      </x:c>
      <x:c r="Q87" s="75" t="str">
        <x:v>No</x:v>
      </x:c>
      <x:c r="R87" s="75" t="str">
        <x:v>No</x:v>
      </x:c>
      <x:c r="S87" s="75" t="str">
        <x:v>Partial</x:v>
      </x:c>
      <x:c r="T87" s="75" t="str">
        <x:v>No</x:v>
      </x:c>
      <x:c r="U87" s="75" t="str">
        <x:v>No</x:v>
      </x:c>
      <x:c r="V87" s="75" t="str">
        <x:v>No</x:v>
      </x:c>
      <x:c r="W87" s="75" t="str">
        <x:v>Partial</x:v>
      </x:c>
      <x:c r="X87" s="75" t="str">
        <x:v>No</x:v>
      </x:c>
      <x:c r="Y87" s="75" t="str">
        <x:v>Yes</x:v>
      </x:c>
      <x:c r="Z87" s="75" t="str">
        <x:v>AI full-text eligibility assessed; selected features verified</x:v>
      </x:c>
      <x:c r="AA87" s="75" t="str">
        <x:v>Pending formal eligibility</x:v>
      </x:c>
      <x:c r="AB87" s="75" t="str">
        <x:v>Yes</x:v>
      </x:c>
      <x:c r="AC87" s="75" t="str">
        <x:v>Uses flow priors with exact data-consistency steps and offline regularisation calibration</x:v>
      </x:c>
      <x:c r="AD87" s="75" t="str">
        <x:v>Calibration tunes regularisation rather than predictive coverage; unknown operators and selective risk remain open</x:v>
      </x:c>
      <x:c r="AE87" s="75" t="str">
        <x:v>https://proceedings.neurips.cc/paper_files/paper/2025/hash/c7ae6e9659f0c99582c2e8214ba0b413-Abstract-Conference.html</x:v>
      </x:c>
      <x:c r="AF87" s="75" t="str">
        <x:v>Strong data-consistent generative comparator | AI pilot 2026-09-16: AI pilot: unclear; human pending. Basis: Complete official NeurIPS abstract. Feature codes remain provisional. Does the paper assess measurement-supported detail beyond its data-fidelity objective, or study operator shift, blind inference or uncertainty reliability? Evidence: https://proceedings.neurips.cc/paper_files/paper/2025/hash/c7ae6e9659f0c99582c2e8214ba0b413-Abstract-Conference.html | AI full-text 2026-09-16: include; human pending. Verified fields: P, Q, R, S, T, W. Evidence/version/read extent: screening/full_text_01.json (P086). Unlisted feature codes remain provisional.</x:v>
      </x:c>
    </x:row>
    <x:row r="88" ht="176" customHeight="1">
      <x:c r="A88" s="85" t="str">
        <x:v>P087</x:v>
      </x:c>
      <x:c r="B88" s="86" t="n">
        <x:v>2025</x:v>
      </x:c>
      <x:c r="C88" s="75" t="str">
        <x:v>Jayaram et al.</x:v>
      </x:c>
      <x:c r="D88" s="75" t="str">
        <x:v>Linearly Constrained Diffusion Implicit Models</x:v>
      </x:c>
      <x:c r="E88" s="75" t="str">
        <x:v>NeurIPS</x:v>
      </x:c>
      <x:c r="F88" s="75" t="str">
        <x:v>Conference</x:v>
      </x:c>
      <x:c r="G88" s="75" t="str">
        <x:v>Yes</x:v>
      </x:c>
      <x:c r="H88" s="75" t="str">
        <x:v>Linear inverse imaging</x:v>
      </x:c>
      <x:c r="I88" s="75" t="str">
        <x:v>Natural images/3D</x:v>
      </x:c>
      <x:c r="J88" s="75" t="str">
        <x:v>Linear operator</x:v>
      </x:c>
      <x:c r="K88" s="75" t="str">
        <x:v>Known</x:v>
      </x:c>
      <x:c r="L88" s="75" t="str">
        <x:v>Noisy linear measurements</x:v>
      </x:c>
      <x:c r="M88" s="75" t="str">
        <x:v>Constrained diffusion implicit model</x:v>
      </x:c>
      <x:c r="N88" s="75" t="str">
        <x:v>Hard/iterative</x:v>
      </x:c>
      <x:c r="O88" s="75" t="str">
        <x:v>No</x:v>
      </x:c>
      <x:c r="P88" s="75" t="str">
        <x:v>Partial</x:v>
      </x:c>
      <x:c r="Q88" s="75" t="str">
        <x:v>No</x:v>
      </x:c>
      <x:c r="R88" s="75" t="str">
        <x:v>No</x:v>
      </x:c>
      <x:c r="S88" s="75" t="str">
        <x:v>Partial</x:v>
      </x:c>
      <x:c r="T88" s="75" t="str">
        <x:v>Partial</x:v>
      </x:c>
      <x:c r="U88" s="75" t="str">
        <x:v>No</x:v>
      </x:c>
      <x:c r="V88" s="75" t="str">
        <x:v>No</x:v>
      </x:c>
      <x:c r="W88" s="75" t="str">
        <x:v>Partial</x:v>
      </x:c>
      <x:c r="X88" s="75" t="str">
        <x:v>No</x:v>
      </x:c>
      <x:c r="Y88" s="75" t="str">
        <x:v>Yes</x:v>
      </x:c>
      <x:c r="Z88" s="75" t="str">
        <x:v>AI full-text eligibility assessed; selected features verified</x:v>
      </x:c>
      <x:c r="AA88" s="75" t="str">
        <x:v>Pending formal eligibility</x:v>
      </x:c>
      <x:c r="AB88" s="75" t="str">
        <x:v>No</x:v>
      </x:c>
      <x:c r="AC88" s="75" t="str">
        <x:v>Aligns measurement residual energy with its expected distribution and reduces projection steps</x:v>
      </x:c>
      <x:c r="AD88" s="75" t="str">
        <x:v>Known linear operator only; residual alignment is not reconstruction calibration or mismatch awareness</x:v>
      </x:c>
      <x:c r="AE88" s="75" t="str">
        <x:v>https://proceedings.neurips.cc/paper_files/paper/2025/hash/d92d3aec6a48e93f93194503ee49f11a-Abstract-Conference.html</x:v>
      </x:c>
      <x:c r="AF88" s="75" t="str">
        <x:v>Fast measurement-consistency baseline | AI pilot 2026-09-16: AI pilot: unclear; human pending. Basis: Complete official NeurIPS abstract. Feature codes remain provisional. Is an incorrect noise/measurement model tested, or uncertainty calibrated? Residual matching under an assumed model is not itself a guarantee of trustworthy recovered detail. Evidence: https://proceedings.neurips.cc/paper_files/paper/2025/hash/d92d3aec6a48e93f93194503ee49f11a-Abstract-Conference.html | AI full-text 2026-09-16: include; human pending. Verified fields: Q, R, S, T, W, X. Evidence/version/read extent: screening/full_text_01.json (P087). Unlisted feature codes remain provisional.</x:v>
      </x:c>
    </x:row>
    <x:row r="89" ht="176" customHeight="1">
      <x:c r="A89" s="85" t="str">
        <x:v>P088</x:v>
      </x:c>
      <x:c r="B89" s="86" t="n">
        <x:v>2024</x:v>
      </x:c>
      <x:c r="C89" s="75" t="str">
        <x:v>Wang et al.</x:v>
      </x:c>
      <x:c r="D89" s="75" t="str">
        <x:v>Exploiting Diffusion Prior for Real-World Image Super-Resolution</x:v>
      </x:c>
      <x:c r="E89" s="75" t="str">
        <x:v>IJCV</x:v>
      </x:c>
      <x:c r="F89" s="75" t="str">
        <x:v>Journal</x:v>
      </x:c>
      <x:c r="G89" s="75" t="str">
        <x:v>Yes</x:v>
      </x:c>
      <x:c r="H89" s="75" t="str">
        <x:v>Blind super-resolution</x:v>
      </x:c>
      <x:c r="I89" s="75" t="str">
        <x:v>Real and synthetic images</x:v>
      </x:c>
      <x:c r="J89" s="75" t="str">
        <x:v>Unknown real degradation</x:v>
      </x:c>
      <x:c r="K89" s="75" t="str">
        <x:v>Unknown</x:v>
      </x:c>
      <x:c r="L89" s="75" t="str">
        <x:v>Blur, noise, compression and resolution loss</x:v>
      </x:c>
      <x:c r="M89" s="75" t="str">
        <x:v>StableSR diffusion prior</x:v>
      </x:c>
      <x:c r="N89" s="75" t="str">
        <x:v>Implicit</x:v>
      </x:c>
      <x:c r="O89" s="75" t="str">
        <x:v>No</x:v>
      </x:c>
      <x:c r="P89" s="75" t="str">
        <x:v>No</x:v>
      </x:c>
      <x:c r="Q89" s="75" t="str">
        <x:v>No</x:v>
      </x:c>
      <x:c r="R89" s="75" t="str">
        <x:v>No</x:v>
      </x:c>
      <x:c r="S89" s="75" t="str">
        <x:v>Yes</x:v>
      </x:c>
      <x:c r="T89" s="75" t="str">
        <x:v>Yes</x:v>
      </x:c>
      <x:c r="U89" s="75" t="str">
        <x:v>Yes</x:v>
      </x:c>
      <x:c r="V89" s="75" t="str">
        <x:v>No</x:v>
      </x:c>
      <x:c r="W89" s="75" t="str">
        <x:v>Partial</x:v>
      </x:c>
      <x:c r="X89" s="75" t="str">
        <x:v>No</x:v>
      </x:c>
      <x:c r="Y89" s="75" t="str">
        <x:v>Yes</x:v>
      </x:c>
      <x:c r="Z89" s="75" t="str">
        <x:v>Abstract inspected; full-text pending</x:v>
      </x:c>
      <x:c r="AA89" s="75" t="str">
        <x:v>Pending formal eligibility</x:v>
      </x:c>
      <x:c r="AB89" s="75" t="str">
        <x:v>Yes</x:v>
      </x:c>
      <x:c r="AC89" s="75" t="str">
        <x:v>Balances perceptual quality and fidelity in real-world blind super-resolution</x:v>
      </x:c>
      <x:c r="AD89" s="75" t="str">
        <x:v>User-controlled fidelity is not measurement-supported certification; no operator posterior or calibrated abstention</x:v>
      </x:c>
      <x:c r="AE89" s="75" t="str">
        <x:v>https://doi.org/10.1007/s11263-024-02168-7</x:v>
      </x:c>
      <x:c r="AF89" s="75" t="str">
        <x:v>Generative fidelity trade-off comparator | AI pilot 2026-09-16: AI pilot: advance; human pending. Basis: Complete publisher/author abstracts and publisher DOI metadata. Feature codes remain provisional. What evidence distinguishes plausible texture from recovered detail under severe degradation? The previous seed DOI ended 02092-y; the publisher verifies 02168-7. Evidence: https://link.springer.com/article/10.1007/s11263-024-02168-7</x:v>
      </x:c>
    </x:row>
    <x:row r="90" ht="176" customHeight="1">
      <x:c r="A90" s="85" t="str">
        <x:v>P089</x:v>
      </x:c>
      <x:c r="B90" s="86" t="n">
        <x:v>2024</x:v>
      </x:c>
      <x:c r="C90" s="75" t="str">
        <x:v>Wu et al.</x:v>
      </x:c>
      <x:c r="D90" s="75" t="str">
        <x:v>SeeSR: Towards Semantics-Aware Real-World Image Super-Resolution</x:v>
      </x:c>
      <x:c r="E90" s="75" t="str">
        <x:v>CVPR</x:v>
      </x:c>
      <x:c r="F90" s="75" t="str">
        <x:v>Conference</x:v>
      </x:c>
      <x:c r="G90" s="75" t="str">
        <x:v>Yes</x:v>
      </x:c>
      <x:c r="H90" s="75" t="str">
        <x:v>Real-world super-resolution</x:v>
      </x:c>
      <x:c r="I90" s="75" t="str">
        <x:v>Real and synthetic images</x:v>
      </x:c>
      <x:c r="J90" s="75" t="str">
        <x:v>Unknown real degradation</x:v>
      </x:c>
      <x:c r="K90" s="75" t="str">
        <x:v>Unknown</x:v>
      </x:c>
      <x:c r="L90" s="75" t="str">
        <x:v>Mixed low-resolution degradation</x:v>
      </x:c>
      <x:c r="M90" s="75" t="str">
        <x:v>Semantic-prompt diffusion SR</x:v>
      </x:c>
      <x:c r="N90" s="75" t="str">
        <x:v>Implicit</x:v>
      </x:c>
      <x:c r="O90" s="75" t="str">
        <x:v>No</x:v>
      </x:c>
      <x:c r="P90" s="75" t="str">
        <x:v>No</x:v>
      </x:c>
      <x:c r="Q90" s="75" t="str">
        <x:v>No</x:v>
      </x:c>
      <x:c r="R90" s="75" t="str">
        <x:v>No</x:v>
      </x:c>
      <x:c r="S90" s="75" t="str">
        <x:v>Yes</x:v>
      </x:c>
      <x:c r="T90" s="75" t="str">
        <x:v>Yes</x:v>
      </x:c>
      <x:c r="U90" s="75" t="str">
        <x:v>Yes</x:v>
      </x:c>
      <x:c r="V90" s="75" t="str">
        <x:v>No</x:v>
      </x:c>
      <x:c r="W90" s="75" t="str">
        <x:v>Partial</x:v>
      </x:c>
      <x:c r="X90" s="75" t="str">
        <x:v>No</x:v>
      </x:c>
      <x:c r="Y90" s="75" t="str">
        <x:v>Yes</x:v>
      </x:c>
      <x:c r="Z90" s="75" t="str">
        <x:v>AI full-text eligibility assessed; selected features verified</x:v>
      </x:c>
      <x:c r="AA90" s="75" t="str">
        <x:v>Pending formal eligibility</x:v>
      </x:c>
      <x:c r="AB90" s="75" t="str">
        <x:v>Yes</x:v>
      </x:c>
      <x:c r="AC90" s="75" t="str">
        <x:v>Uses degradation-aware semantic prompts to improve realistic blind super-resolution</x:v>
      </x:c>
      <x:c r="AD90" s="75" t="str">
        <x:v>Semantic priors can invent plausible detail; no physical support test, operator UQ or refusal policy</x:v>
      </x:c>
      <x:c r="AE90" s="75" t="str">
        <x:v>https://openaccess.thecvf.com/content/CVPR2024/html/Wu_SeeSR_Towards_Semantics-Aware_Real-World_Image_Super-Resolution_CVPR_2024_paper.html</x:v>
      </x:c>
      <x:c r="AF90" s="75" t="str">
        <x:v>Critical hallucination-risk baseline | AI pilot 2026-09-16: AI pilot: advance; human pending. Basis: Complete author preprint abstract with CVPR acceptance note. Feature codes remain provisional. How is semantic fidelity evaluated when the input is ambiguous? Reduced semantic error does not establish calibrated uncertainty or measurement support for every generated detail. Evidence: https://arxiv.org/abs/2311.16518 | AI full-text 2026-09-16: include; human pending. Verified fields: O, Q, R, T, U, W, X. Evidence/version/read extent: screening/full_text_06.json (P089). Unlisted feature codes remain provisional.</x:v>
      </x:c>
    </x:row>
    <x:row r="91" ht="176" customHeight="1">
      <x:c r="A91" s="85" t="str">
        <x:v>P090</x:v>
      </x:c>
      <x:c r="B91" s="86" t="n">
        <x:v>2024</x:v>
      </x:c>
      <x:c r="C91" s="75" t="str">
        <x:v>Zhou et al.</x:v>
      </x:c>
      <x:c r="D91" s="75" t="str">
        <x:v>Upscale-A-Video: Temporal-Consistent Diffusion Model for Real-World Video Super-Resolution</x:v>
      </x:c>
      <x:c r="E91" s="75" t="str">
        <x:v>CVPR</x:v>
      </x:c>
      <x:c r="F91" s="75" t="str">
        <x:v>Conference</x:v>
      </x:c>
      <x:c r="G91" s="75" t="str">
        <x:v>Yes</x:v>
      </x:c>
      <x:c r="H91" s="75" t="str">
        <x:v>Real-world video super-resolution</x:v>
      </x:c>
      <x:c r="I91" s="75" t="str">
        <x:v>Real and synthetic video</x:v>
      </x:c>
      <x:c r="J91" s="75" t="str">
        <x:v>Unknown video degradation</x:v>
      </x:c>
      <x:c r="K91" s="75" t="str">
        <x:v>Unknown</x:v>
      </x:c>
      <x:c r="L91" s="75" t="str">
        <x:v>Resolution loss, blur, noise and compression</x:v>
      </x:c>
      <x:c r="M91" s="75" t="str">
        <x:v>Temporally conditioned diffusion</x:v>
      </x:c>
      <x:c r="N91" s="75" t="str">
        <x:v>Implicit</x:v>
      </x:c>
      <x:c r="O91" s="75" t="str">
        <x:v>No</x:v>
      </x:c>
      <x:c r="P91" s="75" t="str">
        <x:v>No</x:v>
      </x:c>
      <x:c r="Q91" s="75" t="str">
        <x:v>No</x:v>
      </x:c>
      <x:c r="R91" s="75" t="str">
        <x:v>No</x:v>
      </x:c>
      <x:c r="S91" s="75" t="str">
        <x:v>Yes</x:v>
      </x:c>
      <x:c r="T91" s="75" t="str">
        <x:v>Yes</x:v>
      </x:c>
      <x:c r="U91" s="75" t="str">
        <x:v>Yes</x:v>
      </x:c>
      <x:c r="V91" s="75" t="str">
        <x:v>Yes</x:v>
      </x:c>
      <x:c r="W91" s="75" t="str">
        <x:v>Partial</x:v>
      </x:c>
      <x:c r="X91" s="75" t="str">
        <x:v>No</x:v>
      </x:c>
      <x:c r="Y91" s="75" t="str">
        <x:v>Yes</x:v>
      </x:c>
      <x:c r="Z91" s="75" t="str">
        <x:v>Abstract inspected; full-text pending</x:v>
      </x:c>
      <x:c r="AA91" s="75" t="str">
        <x:v>Pending formal eligibility</x:v>
      </x:c>
      <x:c r="AB91" s="75" t="str">
        <x:v>Yes</x:v>
      </x:c>
      <x:c r="AC91" s="75" t="str">
        <x:v>Extends generative real-world super-resolution with temporal consistency</x:v>
      </x:c>
      <x:c r="AD91" s="75" t="str">
        <x:v>No explicit acquisition operator, calibrated uncertainty, evidence-support audit or abstention</x:v>
      </x:c>
      <x:c r="AE91" s="75" t="str">
        <x:v>https://openaccess.thecvf.com/content/CVPR2024/html/Zhou_Upscale-A-Video_Temporal-Consistent_Diffusion_Model_for_Real-World_Video_Super-Resolution_CVPR_2024_paper.html</x:v>
      </x:c>
      <x:c r="AF91" s="75" t="str">
        <x:v>Closest real-world generative video-SR baseline | AI pilot 2026-09-16: AI pilot: advance; human pending. Basis: Complete author preprint abstract and official project locator. Feature codes remain provisional. Distinguish temporal output consistency from testing time-varying acquisition operators. Verify whether propagated generated detail stays consistent with measurements. Evidence: https://arxiv.org/abs/2312.06640</x:v>
      </x:c>
    </x:row>
  </x:sheetData>
  <x:conditionalFormatting sqref="AB2:AB91">
    <x:cfRule type="containsText" dxfId="0" priority="1" operator="containsText" text="Yes"/>
  </x:conditionalFormatting>
  <x:conditionalFormatting sqref="AA2:AA91">
    <x:cfRule type="containsText" dxfId="1" priority="2" operator="containsText" text="Exclude"/>
  </x:conditionalFormatting>
  <x:pageMargins left="0.7" right="0.7" top="0.75" bottom="0.75" header="0.3" footer="0.3"/>
  <x:tableParts count="1">
    <x:tablePart xmlns:r="http://schemas.openxmlformats.org/officeDocument/2006/relationships" r:id="Rf30335e755b14f6f"/>
  </x:tableParts>
</x:worksheet>
</file>

<file path=xl/worksheets/sheet3.xml><?xml version="1.0" encoding="utf-8"?>
<x:worksheet xmlns:x="http://schemas.openxmlformats.org/spreadsheetml/2006/main">
  <x:sheetPr>
    <x:tabColor rgb="FF70AD47"/>
  </x:sheetPr>
  <x:sheetViews>
    <x:sheetView showGridLines="0" workbookViewId="0">
      <x:pane xSplit="2" ySplit="1" topLeftCell="C2" activePane="bottomRight" state="frozen"/>
    </x:sheetView>
  </x:sheetViews>
  <x:sheetFormatPr defaultRowHeight="15"/>
  <x:cols>
    <x:col min="1" max="1" width="11" hidden="0" customWidth="1"/>
    <x:col min="2" max="2" width="13" hidden="0" customWidth="1"/>
    <x:col min="3" max="3" width="24" hidden="0" customWidth="1"/>
    <x:col min="4" max="4" width="24" hidden="0" customWidth="1"/>
    <x:col min="5" max="5" width="48" hidden="0" customWidth="1"/>
    <x:col min="6" max="6" width="9" hidden="0" customWidth="1"/>
    <x:col min="7" max="7" width="38" hidden="0" customWidth="1"/>
    <x:col min="8" max="8" width="19" hidden="0" customWidth="1"/>
    <x:col min="9" max="9" width="24" hidden="0" customWidth="1"/>
    <x:col min="10" max="10" width="24" hidden="0" customWidth="1"/>
    <x:col min="11" max="11" width="24" hidden="0" customWidth="1"/>
    <x:col min="12" max="12" width="64" hidden="0" customWidth="1"/>
    <x:col min="13" max="13" width="24" hidden="0" customWidth="1"/>
    <x:col min="14" max="14" width="24" hidden="0" customWidth="1"/>
  </x:cols>
  <x:sheetData>
    <x:row r="1" ht="42" customHeight="1">
      <x:c r="A1" s="38" t="str">
        <x:v>Record ID</x:v>
      </x:c>
      <x:c r="B1" s="38" t="str">
        <x:v>Date found</x:v>
      </x:c>
      <x:c r="C1" s="38" t="str">
        <x:v>Database/source</x:v>
      </x:c>
      <x:c r="D1" s="38" t="str">
        <x:v>Search string / citation route</x:v>
      </x:c>
      <x:c r="E1" s="38" t="str">
        <x:v>Title</x:v>
      </x:c>
      <x:c r="F1" s="38" t="str">
        <x:v>Year</x:v>
      </x:c>
      <x:c r="G1" s="38" t="str">
        <x:v>DOI / URL</x:v>
      </x:c>
      <x:c r="H1" s="38" t="str">
        <x:v>Duplicate?</x:v>
      </x:c>
      <x:c r="I1" s="71" t="str">
        <x:v>Title/abstract decision</x:v>
      </x:c>
      <x:c r="J1" s="71" t="str">
        <x:v>Full-text decision</x:v>
      </x:c>
      <x:c r="K1" s="71" t="str">
        <x:v>Exclusion reason</x:v>
      </x:c>
      <x:c r="L1" s="71" t="str">
        <x:v>Reviewer notes</x:v>
      </x:c>
      <x:c r="M1" s="71" t="str">
        <x:v>Full-text obtained?</x:v>
      </x:c>
      <x:c r="N1" s="71" t="str">
        <x:v>Added to matrix?</x:v>
      </x:c>
    </x:row>
    <x:row r="2" ht="176" customHeight="1">
      <x:c r="A2" s="73" t="str">
        <x:v>S001</x:v>
      </x:c>
      <x:c r="B2" s="74"/>
      <x:c r="C2" s="73" t="str">
        <x:v>Seed evidence map (pre-systematic)</x:v>
      </x:c>
      <x:c r="D2" s="73" t="str">
        <x:v>Targeted cornerstone search / citation chaining; mapped as P001</x:v>
      </x:c>
      <x:c r="E2" s="73" t="str">
        <x:v>Deep Learning for Handling Kernel/Model Uncertainty in Image Deconvolution</x:v>
      </x:c>
      <x:c r="F2" s="73" t="n">
        <x:v>2020</x:v>
      </x:c>
      <x:c r="G2" s="73" t="str">
        <x:v>https://doi.org/10.1109/CVPR42600.2020.00246</x:v>
      </x:c>
      <x:c r="H2" s="73" t="str">
        <x:v>No</x:v>
      </x:c>
      <x:c r="I2" s="93" t="str">
        <x:v>AI pilot: advance</x:v>
      </x:c>
      <x:c r="J2" s="75" t="str">
        <x:v>Pending</x:v>
      </x:c>
      <x:c r="K2" s="75"/>
      <x:c r="L2" s="75" t="str">
        <x:v>2026-09-16 | AI only; human pending. Kernel/model uncertainty. Basis: Title and official author repository; abstract not retrieved. Full-text question and source: screening/pilot_01.json (P001). Revisit: Additional search located the existing author repository but did not supply a complete abstract; recommendation unchanged. See screening/pilot_03.json.</x:v>
      </x:c>
      <x:c r="M2" s="75" t="str">
        <x:v>No</x:v>
      </x:c>
      <x:c r="N2" s="75" t="str">
        <x:v>Yes</x:v>
      </x:c>
    </x:row>
    <x:row r="3" ht="144" customHeight="1">
      <x:c r="A3" s="73" t="str">
        <x:v>S002</x:v>
      </x:c>
      <x:c r="B3" s="74"/>
      <x:c r="C3" s="73" t="str">
        <x:v>Seed evidence map (pre-systematic)</x:v>
      </x:c>
      <x:c r="D3" s="73" t="str">
        <x:v>Targeted cornerstone search / citation chaining; mapped as P002</x:v>
      </x:c>
      <x:c r="E3" s="73" t="str">
        <x:v>NETT: Solving Inverse Problems with Deep Neural Networks</x:v>
      </x:c>
      <x:c r="F3" s="73" t="n">
        <x:v>2020</x:v>
      </x:c>
      <x:c r="G3" s="73" t="str">
        <x:v>https://doi.org/10.1088/1361-6420/ab6d57</x:v>
      </x:c>
      <x:c r="H3" s="73" t="str">
        <x:v>No</x:v>
      </x:c>
      <x:c r="I3" s="93" t="str">
        <x:v>AI pilot: advance</x:v>
      </x:c>
      <x:c r="J3" s="103" t="str">
        <x:v>AI full-text: include</x:v>
      </x:c>
      <x:c r="K3" s="75" t="str"/>
      <x:c r="L3" s="75" t="str">
        <x:v>2026-09-16 | AI full-text include; human pending. OOD phantom reconstruction; §5.3. Online text inspected; no local PDF saved. Version, read extent and technical extraction: screening/full_text_06.json (P002).</x:v>
      </x:c>
      <x:c r="M3" s="75" t="str">
        <x:v>No</x:v>
      </x:c>
      <x:c r="N3" s="75" t="str">
        <x:v>Yes</x:v>
      </x:c>
    </x:row>
    <x:row r="4" ht="144" customHeight="1">
      <x:c r="A4" s="73" t="str">
        <x:v>S003</x:v>
      </x:c>
      <x:c r="B4" s="74"/>
      <x:c r="C4" s="73" t="str">
        <x:v>Seed evidence map (pre-systematic)</x:v>
      </x:c>
      <x:c r="D4" s="73" t="str">
        <x:v>Targeted cornerstone search / citation chaining; mapped as P003</x:v>
      </x:c>
      <x:c r="E4" s="73" t="str">
        <x:v>On Instabilities of Deep Learning in Image Reconstruction and the Potential Costs of AI</x:v>
      </x:c>
      <x:c r="F4" s="73" t="n">
        <x:v>2020</x:v>
      </x:c>
      <x:c r="G4" s="73" t="str">
        <x:v>https://doi.org/10.1073/pnas.1907377117</x:v>
      </x:c>
      <x:c r="H4" s="73" t="str">
        <x:v>No</x:v>
      </x:c>
      <x:c r="I4" s="93" t="str">
        <x:v>AI pilot: advance</x:v>
      </x:c>
      <x:c r="J4" s="103" t="str">
        <x:v>AI full-text: include</x:v>
      </x:c>
      <x:c r="K4" s="75" t="str"/>
      <x:c r="L4" s="75" t="str">
        <x:v>2026-09-16 | AI full-text include; human pending. Reconstruction instability and altered sampling tests. Online text inspected; no local PDF saved. Version, read extent and technical extraction: screening/full_text_06.json (P003).</x:v>
      </x:c>
      <x:c r="M4" s="75" t="str">
        <x:v>No</x:v>
      </x:c>
      <x:c r="N4" s="75" t="str">
        <x:v>Yes</x:v>
      </x:c>
    </x:row>
    <x:row r="5" ht="84" customHeight="1">
      <x:c r="A5" s="73" t="str">
        <x:v>S004</x:v>
      </x:c>
      <x:c r="B5" s="74"/>
      <x:c r="C5" s="73" t="str">
        <x:v>Seed evidence map (pre-systematic)</x:v>
      </x:c>
      <x:c r="D5" s="73" t="str">
        <x:v>Targeted cornerstone search / citation chaining; mapped as P004</x:v>
      </x:c>
      <x:c r="E5" s="73" t="str">
        <x:v>Real-World Blur Dataset for Learning and Benchmarking Deblurring Algorithms</x:v>
      </x:c>
      <x:c r="F5" s="73" t="n">
        <x:v>2020</x:v>
      </x:c>
      <x:c r="G5" s="73" t="str">
        <x:v>https://doi.org/10.1007/978-3-030-58595-2_12</x:v>
      </x:c>
      <x:c r="H5" s="73" t="str">
        <x:v>No</x:v>
      </x:c>
      <x:c r="I5" s="76" t="str">
        <x:v>AI pilot: advance</x:v>
      </x:c>
      <x:c r="J5" s="75" t="str">
        <x:v>Pending</x:v>
      </x:c>
      <x:c r="K5" s="75"/>
      <x:c r="L5" s="75" t="str">
        <x:v>2026-09-16 | AI only; human pending. Real blur and synthetic-to-real degradation gap. Basis: Publisher abstract. Full-text question and source: screening/pilot_01.json (P004).</x:v>
      </x:c>
      <x:c r="M5" s="75" t="str">
        <x:v>No</x:v>
      </x:c>
      <x:c r="N5" s="75" t="str">
        <x:v>Yes</x:v>
      </x:c>
    </x:row>
    <x:row r="6" ht="144" customHeight="1">
      <x:c r="A6" s="73" t="str">
        <x:v>S005</x:v>
      </x:c>
      <x:c r="B6" s="74"/>
      <x:c r="C6" s="73" t="str">
        <x:v>Seed evidence map (pre-systematic)</x:v>
      </x:c>
      <x:c r="D6" s="73" t="str">
        <x:v>Targeted cornerstone search / citation chaining; mapped as P005</x:v>
      </x:c>
      <x:c r="E6" s="73" t="str">
        <x:v>Robust Reconstruction With Deep Learning to Handle Model Mismatch in Lensless Imaging</x:v>
      </x:c>
      <x:c r="F6" s="73" t="n">
        <x:v>2021</x:v>
      </x:c>
      <x:c r="G6" s="73" t="str">
        <x:v>https://doi.org/10.1109/TCI.2021.3114542</x:v>
      </x:c>
      <x:c r="H6" s="73" t="str">
        <x:v>No</x:v>
      </x:c>
      <x:c r="I6" s="93" t="str">
        <x:v>AI pilot: advance</x:v>
      </x:c>
      <x:c r="J6" s="101" t="str">
        <x:v>AI full-text: include</x:v>
      </x:c>
      <x:c r="K6" s="75" t="str"/>
      <x:c r="L6" s="75" t="str">
        <x:v>2026-09-16 | AI full-text include; human pending. Biased forward model and compensation; §§III–IV. Online text inspected; no local PDF saved. Version, read extent and technical extraction: screening/full_text_04.json (P005).</x:v>
      </x:c>
      <x:c r="M6" s="75" t="str">
        <x:v>No</x:v>
      </x:c>
      <x:c r="N6" s="75" t="str">
        <x:v>Yes</x:v>
      </x:c>
    </x:row>
    <x:row r="7" ht="144" customHeight="1">
      <x:c r="A7" s="73" t="str">
        <x:v>S006</x:v>
      </x:c>
      <x:c r="B7" s="74"/>
      <x:c r="C7" s="73" t="str">
        <x:v>Seed evidence map (pre-systematic)</x:v>
      </x:c>
      <x:c r="D7" s="73" t="str">
        <x:v>Targeted cornerstone search / citation chaining; mapped as P006</x:v>
      </x:c>
      <x:c r="E7" s="73" t="str">
        <x:v>Deep Equilibrium Architectures for Inverse Problems in Imaging</x:v>
      </x:c>
      <x:c r="F7" s="73" t="n">
        <x:v>2021</x:v>
      </x:c>
      <x:c r="G7" s="73" t="str">
        <x:v>https://doi.org/10.1109/TCI.2021.3118944</x:v>
      </x:c>
      <x:c r="H7" s="73" t="str">
        <x:v>No</x:v>
      </x:c>
      <x:c r="I7" s="94" t="str">
        <x:v>AI pilot: unclear</x:v>
      </x:c>
      <x:c r="J7" s="95" t="str">
        <x:v>AI full-text: include</x:v>
      </x:c>
      <x:c r="K7" s="75" t="str"/>
      <x:c r="L7" s="75" t="str">
        <x:v>2026-09-16 | AI full-text include; human pending. Test-time measurement-noise variation; §6.7, Figure 8(b). Online text inspected; no local PDF saved. Version, read extent and technical extraction: screening/full_text_01.json (P006).</x:v>
      </x:c>
      <x:c r="M7" s="75" t="str">
        <x:v>No</x:v>
      </x:c>
      <x:c r="N7" s="75" t="str">
        <x:v>Yes</x:v>
      </x:c>
    </x:row>
    <x:row r="8" ht="144" customHeight="1">
      <x:c r="A8" s="73" t="str">
        <x:v>S007</x:v>
      </x:c>
      <x:c r="B8" s="74"/>
      <x:c r="C8" s="73" t="str">
        <x:v>Seed evidence map (pre-systematic)</x:v>
      </x:c>
      <x:c r="D8" s="73" t="str">
        <x:v>Targeted cornerstone search / citation chaining; mapped as P007</x:v>
      </x:c>
      <x:c r="E8" s="73" t="str">
        <x:v>Deep Probabilistic Imaging: Uncertainty Quantification and Multi-modal Solution Characterization for Computational Imaging</x:v>
      </x:c>
      <x:c r="F8" s="73" t="n">
        <x:v>2021</x:v>
      </x:c>
      <x:c r="G8" s="73" t="str">
        <x:v>https://ojs.aaai.org/index.php/AAAI/article/view/16366</x:v>
      </x:c>
      <x:c r="H8" s="73" t="str">
        <x:v>No</x:v>
      </x:c>
      <x:c r="I8" s="93" t="str">
        <x:v>AI pilot: advance</x:v>
      </x:c>
      <x:c r="J8" s="100" t="str">
        <x:v>AI full-text: include</x:v>
      </x:c>
      <x:c r="K8" s="75" t="str"/>
      <x:c r="L8" s="75" t="str">
        <x:v>2026-09-16 | AI full-text include; human pending. Image posterior uncertainty and approximate likelihoods; Method. Online text inspected; no local PDF saved. Version, read extent and technical extraction: screening/full_text_03.json (P007).</x:v>
      </x:c>
      <x:c r="M8" s="75" t="str">
        <x:v>No</x:v>
      </x:c>
      <x:c r="N8" s="75" t="str">
        <x:v>Yes</x:v>
      </x:c>
    </x:row>
    <x:row r="9" ht="144" customHeight="1">
      <x:c r="A9" s="73" t="str">
        <x:v>S008</x:v>
      </x:c>
      <x:c r="B9" s="74"/>
      <x:c r="C9" s="73" t="str">
        <x:v>Seed evidence map (pre-systematic)</x:v>
      </x:c>
      <x:c r="D9" s="73" t="str">
        <x:v>Targeted cornerstone search / citation chaining; mapped as P008</x:v>
      </x:c>
      <x:c r="E9" s="73" t="str">
        <x:v>On Hallucinations in Tomographic Image Reconstruction</x:v>
      </x:c>
      <x:c r="F9" s="73" t="n">
        <x:v>2021</x:v>
      </x:c>
      <x:c r="G9" s="73" t="str">
        <x:v>https://doi.org/10.1109/TMI.2021.3077857</x:v>
      </x:c>
      <x:c r="H9" s="73" t="str">
        <x:v>No</x:v>
      </x:c>
      <x:c r="I9" s="93" t="str">
        <x:v>AI pilot: advance</x:v>
      </x:c>
      <x:c r="J9" s="101" t="str">
        <x:v>AI full-text: include</x:v>
      </x:c>
      <x:c r="K9" s="75" t="str"/>
      <x:c r="L9" s="75" t="str">
        <x:v>2026-09-16 | AI full-text include; human pending. Prior-induced hallucination, model error and distribution shift; §§III–V. Online text inspected; no local PDF saved. Version, read extent and technical extraction: screening/full_text_04.json (P008).</x:v>
      </x:c>
      <x:c r="M9" s="75" t="str">
        <x:v>No</x:v>
      </x:c>
      <x:c r="N9" s="75" t="str">
        <x:v>Yes</x:v>
      </x:c>
    </x:row>
    <x:row r="10" ht="84" customHeight="1">
      <x:c r="A10" s="73" t="str">
        <x:v>S009</x:v>
      </x:c>
      <x:c r="B10" s="74"/>
      <x:c r="C10" s="73" t="str">
        <x:v>Seed evidence map (pre-systematic)</x:v>
      </x:c>
      <x:c r="D10" s="73" t="str">
        <x:v>Targeted cornerstone search / citation chaining; mapped as P009</x:v>
      </x:c>
      <x:c r="E10" s="73" t="str">
        <x:v>Designing a Practical Degradation Model for Deep Blind Image Super-Resolution</x:v>
      </x:c>
      <x:c r="F10" s="73" t="n">
        <x:v>2021</x:v>
      </x:c>
      <x:c r="G10" s="73" t="str">
        <x:v>https://openaccess.thecvf.com/content/ICCV2021/html/Zhang_Designing_a_Practical_Degradation_Model_for_Deep_Blind_Image_Super-Resolution_ICCV_2021_paper.html</x:v>
      </x:c>
      <x:c r="H10" s="73" t="str">
        <x:v>No</x:v>
      </x:c>
      <x:c r="I10" s="76" t="str">
        <x:v>AI pilot: advance</x:v>
      </x:c>
      <x:c r="J10" s="75" t="str">
        <x:v>Pending</x:v>
      </x:c>
      <x:c r="K10" s="75"/>
      <x:c r="L10" s="75" t="str">
        <x:v>2026-09-16 | AI only; human pending. Blind restoration with compound degradation. Basis: Author preprint abstract. Full-text question and source: screening/pilot_01.json (P009).</x:v>
      </x:c>
      <x:c r="M10" s="75" t="str">
        <x:v>No</x:v>
      </x:c>
      <x:c r="N10" s="75" t="str">
        <x:v>Yes</x:v>
      </x:c>
    </x:row>
    <x:row r="11" ht="144" customHeight="1">
      <x:c r="A11" s="73" t="str">
        <x:v>S010</x:v>
      </x:c>
      <x:c r="B11" s="74"/>
      <x:c r="C11" s="73" t="str">
        <x:v>Seed evidence map (pre-systematic)</x:v>
      </x:c>
      <x:c r="D11" s="73" t="str">
        <x:v>Targeted cornerstone search / citation chaining; mapped as P010</x:v>
      </x:c>
      <x:c r="E11" s="73" t="str">
        <x:v>Real-ESRGAN: Training Real-World Blind Super-Resolution With Pure Synthetic Data</x:v>
      </x:c>
      <x:c r="F11" s="73" t="n">
        <x:v>2021</x:v>
      </x:c>
      <x:c r="G11" s="73" t="str">
        <x:v>https://openaccess.thecvf.com/content/ICCV2021W/AIM/html/Wang_Real-ESRGAN_Training_Real-World_Blind_Super-Resolution_With_Pure_Synthetic_Data_ICCVW_2021_paper.html</x:v>
      </x:c>
      <x:c r="H11" s="73" t="str">
        <x:v>No</x:v>
      </x:c>
      <x:c r="I11" s="93" t="str">
        <x:v>AI pilot: advance</x:v>
      </x:c>
      <x:c r="J11" s="100" t="str">
        <x:v>AI full-text: include</x:v>
      </x:c>
      <x:c r="K11" s="75" t="str"/>
      <x:c r="L11" s="75" t="str">
        <x:v>2026-09-16 | AI full-text include; human pending. High-order compound degradation and real generalization; §§3–4. Online text inspected; no local PDF saved. Version, read extent and technical extraction: screening/full_text_03.json (P010).</x:v>
      </x:c>
      <x:c r="M11" s="75" t="str">
        <x:v>No</x:v>
      </x:c>
      <x:c r="N11" s="75" t="str">
        <x:v>Yes</x:v>
      </x:c>
    </x:row>
    <x:row r="12" ht="144" customHeight="1">
      <x:c r="A12" s="73" t="str">
        <x:v>S011</x:v>
      </x:c>
      <x:c r="B12" s="74"/>
      <x:c r="C12" s="73" t="str">
        <x:v>Seed evidence map (pre-systematic)</x:v>
      </x:c>
      <x:c r="D12" s="73" t="str">
        <x:v>Targeted cornerstone search / citation chaining; mapped as P011</x:v>
      </x:c>
      <x:c r="E12" s="73" t="str">
        <x:v>Image-to-Image Regression with Distribution-Free Uncertainty Quantification and Applications in Imaging</x:v>
      </x:c>
      <x:c r="F12" s="73" t="n">
        <x:v>2022</x:v>
      </x:c>
      <x:c r="G12" s="73" t="str">
        <x:v>https://proceedings.mlr.press/v162/angelopoulos22a.html</x:v>
      </x:c>
      <x:c r="H12" s="73" t="str">
        <x:v>No</x:v>
      </x:c>
      <x:c r="I12" s="93" t="str">
        <x:v>AI pilot: advance</x:v>
      </x:c>
      <x:c r="J12" s="100" t="str">
        <x:v>AI full-text: include</x:v>
      </x:c>
      <x:c r="K12" s="75" t="str"/>
      <x:c r="L12" s="75" t="str">
        <x:v>2026-09-16 | AI full-text include; human pending. Distribution-free image uncertainty; §2. Online text inspected; no local PDF saved. Version, read extent and technical extraction: screening/full_text_03.json (P011).</x:v>
      </x:c>
      <x:c r="M12" s="75" t="str">
        <x:v>No</x:v>
      </x:c>
      <x:c r="N12" s="75" t="str">
        <x:v>Yes</x:v>
      </x:c>
    </x:row>
    <x:row r="13" ht="144" customHeight="1">
      <x:c r="A13" s="73" t="str">
        <x:v>S012</x:v>
      </x:c>
      <x:c r="B13" s="74"/>
      <x:c r="C13" s="73" t="str">
        <x:v>Seed evidence map (pre-systematic)</x:v>
      </x:c>
      <x:c r="D13" s="73" t="str">
        <x:v>Targeted cornerstone search / citation chaining; mapped as P012</x:v>
      </x:c>
      <x:c r="E13" s="73" t="str">
        <x:v>Denoising Diffusion Restoration Models</x:v>
      </x:c>
      <x:c r="F13" s="73" t="n">
        <x:v>2022</x:v>
      </x:c>
      <x:c r="G13" s="73" t="str">
        <x:v>https://proceedings.neurips.cc/paper_files/paper/2022/hash/95504595b6169131b6ed6cd72eb05616-Abstract-Conference.html</x:v>
      </x:c>
      <x:c r="H13" s="73" t="str">
        <x:v>No</x:v>
      </x:c>
      <x:c r="I13" s="93" t="str">
        <x:v>AI pilot: advance</x:v>
      </x:c>
      <x:c r="J13" s="102" t="str">
        <x:v>AI full-text: include</x:v>
      </x:c>
      <x:c r="K13" s="75" t="str"/>
      <x:c r="L13" s="75" t="str">
        <x:v>2026-09-16 | AI full-text include; human pending. Reconstruction posterior and content transfer; §§3 and 5.3. Online text inspected; no local PDF saved. Version, read extent and technical extraction: screening/full_text_05.json (P012).</x:v>
      </x:c>
      <x:c r="M13" s="75" t="str">
        <x:v>No</x:v>
      </x:c>
      <x:c r="N13" s="75" t="str">
        <x:v>Yes</x:v>
      </x:c>
    </x:row>
    <x:row r="14" ht="176" customHeight="1">
      <x:c r="A14" s="73" t="str">
        <x:v>S013</x:v>
      </x:c>
      <x:c r="B14" s="74"/>
      <x:c r="C14" s="73" t="str">
        <x:v>Seed evidence map (pre-systematic)</x:v>
      </x:c>
      <x:c r="D14" s="73" t="str">
        <x:v>Targeted cornerstone search / citation chaining; mapped as P013</x:v>
      </x:c>
      <x:c r="E14" s="73" t="str">
        <x:v>All-in-One Image Restoration for Unknown Corruption</x:v>
      </x:c>
      <x:c r="F14" s="73" t="n">
        <x:v>2022</x:v>
      </x:c>
      <x:c r="G14" s="73" t="str">
        <x:v>https://openaccess.thecvf.com/content/CVPR2022/html/Li_All-in-One_Image_Restoration_for_Unknown_Corruption_CVPR_2022_paper.html</x:v>
      </x:c>
      <x:c r="H14" s="73" t="str">
        <x:v>No</x:v>
      </x:c>
      <x:c r="I14" s="93" t="str">
        <x:v>AI pilot: advance</x:v>
      </x:c>
      <x:c r="J14" s="75" t="str">
        <x:v>Pending</x:v>
      </x:c>
      <x:c r="K14" s="75"/>
      <x:c r="L14" s="75" t="str">
        <x:v>2026-09-16 | AI only; human pending. Unknown corruption and all-in-one restoration. Basis: Title and official author repository; abstract not retrieved. Full-text question and source: screening/pilot_01.json (P013). Revisit: Indexed proceedings excerpt and previous official repository; complete abstract still not retrieved; recommendation unchanged. See screening/pilot_03.json.</x:v>
      </x:c>
      <x:c r="M14" s="75" t="str">
        <x:v>No</x:v>
      </x:c>
      <x:c r="N14" s="75" t="str">
        <x:v>Yes</x:v>
      </x:c>
    </x:row>
    <x:row r="15" ht="144" customHeight="1">
      <x:c r="A15" s="73" t="str">
        <x:v>S014</x:v>
      </x:c>
      <x:c r="B15" s="74"/>
      <x:c r="C15" s="73" t="str">
        <x:v>Seed evidence map (pre-systematic)</x:v>
      </x:c>
      <x:c r="D15" s="73" t="str">
        <x:v>Targeted cornerstone search / citation chaining; mapped as P014</x:v>
      </x:c>
      <x:c r="E15" s="73" t="str">
        <x:v>Conffusion: Confidence Intervals for Diffusion Models</x:v>
      </x:c>
      <x:c r="F15" s="73" t="n">
        <x:v>2022</x:v>
      </x:c>
      <x:c r="G15" s="73" t="str">
        <x:v>https://arxiv.org/abs/2211.09795</x:v>
      </x:c>
      <x:c r="H15" s="73" t="str">
        <x:v>No</x:v>
      </x:c>
      <x:c r="I15" s="93" t="str">
        <x:v>AI pilot: advance</x:v>
      </x:c>
      <x:c r="J15" s="101" t="str">
        <x:v>AI full-text: include</x:v>
      </x:c>
      <x:c r="K15" s="75" t="str"/>
      <x:c r="L15" s="75" t="str">
        <x:v>2026-09-16 | AI full-text include; human pending. Reconstruction uncertainty and risk calibration; §§3–4. Online text inspected; no local PDF saved. Version, read extent and technical extraction: screening/full_text_04.json (P014).</x:v>
      </x:c>
      <x:c r="M15" s="75" t="str">
        <x:v>No</x:v>
      </x:c>
      <x:c r="N15" s="75" t="str">
        <x:v>Yes</x:v>
      </x:c>
    </x:row>
    <x:row r="16" ht="144" customHeight="1">
      <x:c r="A16" s="73" t="str">
        <x:v>S015</x:v>
      </x:c>
      <x:c r="B16" s="74"/>
      <x:c r="C16" s="73" t="str">
        <x:v>Seed evidence map (pre-systematic)</x:v>
      </x:c>
      <x:c r="D16" s="73" t="str">
        <x:v>Targeted cornerstone search / citation chaining; mapped as P015</x:v>
      </x:c>
      <x:c r="E16" s="73" t="str">
        <x:v>Diffusion Posterior Sampling for General Noisy Inverse Problems</x:v>
      </x:c>
      <x:c r="F16" s="73" t="n">
        <x:v>2023</x:v>
      </x:c>
      <x:c r="G16" s="73" t="str">
        <x:v>https://openreview.net/forum?id=OnD9zGAGT0k</x:v>
      </x:c>
      <x:c r="H16" s="73" t="str">
        <x:v>No</x:v>
      </x:c>
      <x:c r="I16" s="93" t="str">
        <x:v>AI pilot: advance</x:v>
      </x:c>
      <x:c r="J16" s="101" t="str">
        <x:v>AI full-text: include</x:v>
      </x:c>
      <x:c r="K16" s="75" t="str"/>
      <x:c r="L16" s="75" t="str">
        <x:v>2026-09-16 | AI full-text include; human pending. Approximate reconstruction posterior; §3. Online text inspected; no local PDF saved. Version, read extent and technical extraction: screening/full_text_04.json (P015).</x:v>
      </x:c>
      <x:c r="M16" s="75" t="str">
        <x:v>No</x:v>
      </x:c>
      <x:c r="N16" s="75" t="str">
        <x:v>Yes</x:v>
      </x:c>
    </x:row>
    <x:row r="17" ht="176" customHeight="1">
      <x:c r="A17" s="73" t="str">
        <x:v>S016</x:v>
      </x:c>
      <x:c r="B17" s="74"/>
      <x:c r="C17" s="73" t="str">
        <x:v>Seed evidence map (pre-systematic)</x:v>
      </x:c>
      <x:c r="D17" s="73" t="str">
        <x:v>Targeted cornerstone search / citation chaining; mapped as P016</x:v>
      </x:c>
      <x:c r="E17" s="73" t="str">
        <x:v>Pseudoinverse-Guided Diffusion Models for Inverse Problems</x:v>
      </x:c>
      <x:c r="F17" s="73" t="n">
        <x:v>2023</x:v>
      </x:c>
      <x:c r="G17" s="73" t="str">
        <x:v>https://openreview.net/forum?id=9_gsMA8MRKQ</x:v>
      </x:c>
      <x:c r="H17" s="73" t="str">
        <x:v>No</x:v>
      </x:c>
      <x:c r="I17" s="94" t="str">
        <x:v>AI pilot: unclear</x:v>
      </x:c>
      <x:c r="J17" s="75" t="str">
        <x:v>Pending</x:v>
      </x:c>
      <x:c r="K17" s="75"/>
      <x:c r="L17" s="75" t="str">
        <x:v>2026-09-16 | AI only; human pending. Cannot adjudicate from retrieved evidence. Basis: Official search snippet only; full abstract not retrieved. Full-text question and source: screening/pilot_01.json (P016). Revisit: Retrieval retry unsuccessful: OpenReview challenge and author-PDF fetch failure; unchanged unclear. See screening/pilot_02.json. Revisit: OpenReview remains challenged; author PDF fetch failed; author publication listing confirms title and venue only; recommendation unchanged. See screening/pilot_03.json. Full-text 01: author PDF still fails to open; eligibility pending, not excluded. See full_text_01.json.</x:v>
      </x:c>
      <x:c r="M17" s="75" t="str">
        <x:v>No</x:v>
      </x:c>
      <x:c r="N17" s="75" t="str">
        <x:v>Yes</x:v>
      </x:c>
    </x:row>
    <x:row r="18" ht="84" customHeight="1">
      <x:c r="A18" s="73" t="str">
        <x:v>S017</x:v>
      </x:c>
      <x:c r="B18" s="74"/>
      <x:c r="C18" s="73" t="str">
        <x:v>Seed evidence map (pre-systematic)</x:v>
      </x:c>
      <x:c r="D18" s="73" t="str">
        <x:v>Targeted cornerstone search / citation chaining; mapped as P017</x:v>
      </x:c>
      <x:c r="E18" s="73" t="str">
        <x:v>Zero-Shot Image Restoration Using Denoising Diffusion Null-Space Model</x:v>
      </x:c>
      <x:c r="F18" s="73" t="n">
        <x:v>2023</x:v>
      </x:c>
      <x:c r="G18" s="73" t="str">
        <x:v>https://openreview.net/forum?id=mRieQgMtNTQ</x:v>
      </x:c>
      <x:c r="H18" s="73" t="str">
        <x:v>No</x:v>
      </x:c>
      <x:c r="I18" s="76" t="str">
        <x:v>AI pilot: advance</x:v>
      </x:c>
      <x:c r="J18" s="75" t="str">
        <x:v>Pending</x:v>
      </x:c>
      <x:c r="K18" s="75"/>
      <x:c r="L18" s="75" t="str">
        <x:v>2026-09-16 | AI only; human pending. Range/null-space reconstruction and measurement consistency. Basis: Author preprint abstract. Full-text question and source: screening/pilot_01.json (P017).</x:v>
      </x:c>
      <x:c r="M18" s="75" t="str">
        <x:v>No</x:v>
      </x:c>
      <x:c r="N18" s="75" t="str">
        <x:v>Yes</x:v>
      </x:c>
    </x:row>
    <x:row r="19" ht="144" customHeight="1">
      <x:c r="A19" s="73" t="str">
        <x:v>S018</x:v>
      </x:c>
      <x:c r="B19" s="74"/>
      <x:c r="C19" s="73" t="str">
        <x:v>Seed evidence map (pre-systematic)</x:v>
      </x:c>
      <x:c r="D19" s="73" t="str">
        <x:v>Targeted cornerstone search / citation chaining; mapped as P018</x:v>
      </x:c>
      <x:c r="E19" s="73" t="str">
        <x:v>Parallel Diffusion Models of Operator and Image for Blind Inverse Problems</x:v>
      </x:c>
      <x:c r="F19" s="73" t="n">
        <x:v>2023</x:v>
      </x:c>
      <x:c r="G19" s="73" t="str">
        <x:v>https://openaccess.thecvf.com/content/CVPR2023/html/Chung_Parallel_Diffusion_Models_of_Operator_and_Image_for_Blind_Inverse_Problems_CVPR_2023_paper.html</x:v>
      </x:c>
      <x:c r="H19" s="73" t="str">
        <x:v>No</x:v>
      </x:c>
      <x:c r="I19" s="93" t="str">
        <x:v>AI pilot: advance</x:v>
      </x:c>
      <x:c r="J19" s="100" t="str">
        <x:v>AI full-text: include</x:v>
      </x:c>
      <x:c r="K19" s="75" t="str"/>
      <x:c r="L19" s="75" t="str">
        <x:v>2026-09-16 | AI full-text include; human pending. Unknown operator parameters and joint inference; §3. Online text inspected; no local PDF saved. Version, read extent and technical extraction: screening/full_text_03.json (P018).</x:v>
      </x:c>
      <x:c r="M19" s="75" t="str">
        <x:v>No</x:v>
      </x:c>
      <x:c r="N19" s="75" t="str">
        <x:v>Yes</x:v>
      </x:c>
    </x:row>
    <x:row r="20" ht="144" customHeight="1">
      <x:c r="A20" s="73" t="str">
        <x:v>S019</x:v>
      </x:c>
      <x:c r="B20" s="74"/>
      <x:c r="C20" s="73" t="str">
        <x:v>Seed evidence map (pre-systematic)</x:v>
      </x:c>
      <x:c r="D20" s="73" t="str">
        <x:v>Targeted cornerstone search / citation chaining; mapped as P019</x:v>
      </x:c>
      <x:c r="E20" s="73" t="str">
        <x:v>GibbsDDRM: A Partially Collapsed Gibbs Sampler for Solving Blind Inverse Problems with Denoising Diffusion Restoration</x:v>
      </x:c>
      <x:c r="F20" s="73" t="n">
        <x:v>2023</x:v>
      </x:c>
      <x:c r="G20" s="73" t="str">
        <x:v>https://proceedings.mlr.press/v202/murata23a.html</x:v>
      </x:c>
      <x:c r="H20" s="73" t="str">
        <x:v>No</x:v>
      </x:c>
      <x:c r="I20" s="93" t="str">
        <x:v>AI pilot: advance</x:v>
      </x:c>
      <x:c r="J20" s="100" t="str">
        <x:v>AI full-text: include</x:v>
      </x:c>
      <x:c r="K20" s="75" t="str"/>
      <x:c r="L20" s="75" t="str">
        <x:v>2026-09-16 | AI full-text include; human pending. Image and unknown linear-operator inference; §3. Online text inspected; no local PDF saved. Version, read extent and technical extraction: screening/full_text_03.json (P019).</x:v>
      </x:c>
      <x:c r="M20" s="75" t="str">
        <x:v>No</x:v>
      </x:c>
      <x:c r="N20" s="75" t="str">
        <x:v>Yes</x:v>
      </x:c>
    </x:row>
    <x:row r="21" ht="144" customHeight="1">
      <x:c r="A21" s="73" t="str">
        <x:v>S020</x:v>
      </x:c>
      <x:c r="B21" s="74"/>
      <x:c r="C21" s="73" t="str">
        <x:v>Seed evidence map (pre-systematic)</x:v>
      </x:c>
      <x:c r="D21" s="73" t="str">
        <x:v>Targeted cornerstone search / citation chaining; mapped as P020</x:v>
      </x:c>
      <x:c r="E21" s="73" t="str">
        <x:v>PromptIR: Prompting for All-in-One Image Restoration</x:v>
      </x:c>
      <x:c r="F21" s="73" t="n">
        <x:v>2023</x:v>
      </x:c>
      <x:c r="G21" s="73" t="str">
        <x:v>https://proceedings.neurips.cc/paper_files/paper/2023/hash/e187897ed7780a579a0d76fd4a35d107-Abstract-Conference.html</x:v>
      </x:c>
      <x:c r="H21" s="73" t="str">
        <x:v>No</x:v>
      </x:c>
      <x:c r="I21" s="93" t="str">
        <x:v>AI pilot: advance</x:v>
      </x:c>
      <x:c r="J21" s="102" t="str">
        <x:v>AI full-text: include</x:v>
      </x:c>
      <x:c r="K21" s="75" t="str"/>
      <x:c r="L21" s="75" t="str">
        <x:v>2026-09-16 | AI full-text include; human pending. Unknown degradation prompts and held-out noise strength; §§3–4. Online text inspected; no local PDF saved. Version, read extent and technical extraction: screening/full_text_05.json (P020).</x:v>
      </x:c>
      <x:c r="M21" s="75" t="str">
        <x:v>No</x:v>
      </x:c>
      <x:c r="N21" s="75" t="str">
        <x:v>Yes</x:v>
      </x:c>
    </x:row>
    <x:row r="22" ht="112" customHeight="1">
      <x:c r="A22" s="73" t="str">
        <x:v>S021</x:v>
      </x:c>
      <x:c r="B22" s="74"/>
      <x:c r="C22" s="73" t="str">
        <x:v>Seed evidence map (pre-systematic)</x:v>
      </x:c>
      <x:c r="D22" s="73" t="str">
        <x:v>Targeted cornerstone search / citation chaining; mapped as P021</x:v>
      </x:c>
      <x:c r="E22" s="73" t="str">
        <x:v>Differentiable Uncalibrated Imaging</x:v>
      </x:c>
      <x:c r="F22" s="73" t="n">
        <x:v>2024</x:v>
      </x:c>
      <x:c r="G22" s="73" t="str">
        <x:v>https://arxiv.org/abs/2211.10525</x:v>
      </x:c>
      <x:c r="H22" s="73" t="str">
        <x:v>No</x:v>
      </x:c>
      <x:c r="I22" s="81" t="str">
        <x:v>AI pilot: advance</x:v>
      </x:c>
      <x:c r="J22" s="75" t="str">
        <x:v>Pending</x:v>
      </x:c>
      <x:c r="K22" s="75"/>
      <x:c r="L22" s="75" t="str">
        <x:v>2026-09-16 | AI only; human pending. Joint acquisition-parameter calibration and reconstruction. Basis: Author preprint abstract; journal citation not independently rechecked in this batch. Sources and full-text question: screening/pilot_02.json (P021).</x:v>
      </x:c>
      <x:c r="M22" s="75" t="str">
        <x:v>No</x:v>
      </x:c>
      <x:c r="N22" s="75" t="str">
        <x:v>Yes</x:v>
      </x:c>
    </x:row>
    <x:row r="23" ht="144" customHeight="1">
      <x:c r="A23" s="73" t="str">
        <x:v>S022</x:v>
      </x:c>
      <x:c r="B23" s="74"/>
      <x:c r="C23" s="73" t="str">
        <x:v>Seed evidence map (pre-systematic)</x:v>
      </x:c>
      <x:c r="D23" s="73" t="str">
        <x:v>Targeted cornerstone search / citation chaining; mapped as P022</x:v>
      </x:c>
      <x:c r="E23" s="73" t="str">
        <x:v>Fast Diffusion EM: A Diffusion Model for Blind Inverse Problems With Application to Deconvolution</x:v>
      </x:c>
      <x:c r="F23" s="73" t="n">
        <x:v>2024</x:v>
      </x:c>
      <x:c r="G23" s="73" t="str">
        <x:v>https://openaccess.thecvf.com/content/WACV2024/html/Laroche_Fast_Diffusion_EM_A_Diffusion_Model_for_Blind_Inverse_Problems_WACV_2024_paper.html</x:v>
      </x:c>
      <x:c r="H23" s="73" t="str">
        <x:v>No</x:v>
      </x:c>
      <x:c r="I23" s="93" t="str">
        <x:v>AI pilot: advance</x:v>
      </x:c>
      <x:c r="J23" s="100" t="str">
        <x:v>AI full-text: include</x:v>
      </x:c>
      <x:c r="K23" s="75" t="str"/>
      <x:c r="L23" s="75" t="str">
        <x:v>2026-09-16 | AI full-text include; human pending. Operator estimation and prior-domain transfer; §§3–4. Online text inspected; no local PDF saved. Version, read extent and technical extraction: screening/full_text_03.json (P022).</x:v>
      </x:c>
      <x:c r="M23" s="75" t="str">
        <x:v>No</x:v>
      </x:c>
      <x:c r="N23" s="75" t="str">
        <x:v>Yes</x:v>
      </x:c>
    </x:row>
    <x:row r="24" ht="144" customHeight="1">
      <x:c r="A24" s="73" t="str">
        <x:v>S023</x:v>
      </x:c>
      <x:c r="B24" s="74"/>
      <x:c r="C24" s="73" t="str">
        <x:v>Seed evidence map (pre-systematic)</x:v>
      </x:c>
      <x:c r="D24" s="73" t="str">
        <x:v>Targeted cornerstone search / citation chaining; mapped as P023</x:v>
      </x:c>
      <x:c r="E24" s="73" t="str">
        <x:v>Blind Image Restoration via Fast Diffusion Inversion</x:v>
      </x:c>
      <x:c r="F24" s="73" t="n">
        <x:v>2024</x:v>
      </x:c>
      <x:c r="G24" s="73" t="str">
        <x:v>https://proceedings.neurips.cc/paper_files/paper/2024/hash/3d13d910b48ac2e672a32cfdf98be1bf-Abstract-Conference.html</x:v>
      </x:c>
      <x:c r="H24" s="73" t="str">
        <x:v>No</x:v>
      </x:c>
      <x:c r="I24" s="93" t="str">
        <x:v>AI pilot: advance</x:v>
      </x:c>
      <x:c r="J24" s="100" t="str">
        <x:v>AI full-text: include</x:v>
      </x:c>
      <x:c r="K24" s="75" t="str"/>
      <x:c r="L24" s="75" t="str">
        <x:v>2026-09-16 | AI full-text include; human pending. Joint operator and latent-image optimization; §3. Online text inspected; no local PDF saved. Version, read extent and technical extraction: screening/full_text_03.json (P023).</x:v>
      </x:c>
      <x:c r="M24" s="75" t="str">
        <x:v>No</x:v>
      </x:c>
      <x:c r="N24" s="75" t="str">
        <x:v>Yes</x:v>
      </x:c>
    </x:row>
    <x:row r="25" ht="144" customHeight="1">
      <x:c r="A25" s="73" t="str">
        <x:v>S024</x:v>
      </x:c>
      <x:c r="B25" s="74"/>
      <x:c r="C25" s="73" t="str">
        <x:v>Seed evidence map (pre-systematic)</x:v>
      </x:c>
      <x:c r="D25" s="73" t="str">
        <x:v>Targeted cornerstone search / citation chaining; mapped as P024</x:v>
      </x:c>
      <x:c r="E25" s="73" t="str">
        <x:v>Blind Inversion Using Latent Diffusion Priors</x:v>
      </x:c>
      <x:c r="F25" s="73" t="n">
        <x:v>2026</x:v>
      </x:c>
      <x:c r="G25" s="73" t="str">
        <x:v>https://ieeexplore.ieee.org/document/11351303/</x:v>
      </x:c>
      <x:c r="H25" s="73" t="str">
        <x:v>No</x:v>
      </x:c>
      <x:c r="I25" s="93" t="str">
        <x:v>AI pilot: advance</x:v>
      </x:c>
      <x:c r="J25" s="100" t="str">
        <x:v>AI full-text: include</x:v>
      </x:c>
      <x:c r="K25" s="75" t="str"/>
      <x:c r="L25" s="75" t="str">
        <x:v>2026-09-16 | AI full-text include; human pending. Latent image sampling and operator estimation; §4. Online text inspected; no local PDF saved. Version, read extent and technical extraction: screening/full_text_03.json (P024).</x:v>
      </x:c>
      <x:c r="M25" s="75" t="str">
        <x:v>No</x:v>
      </x:c>
      <x:c r="N25" s="75" t="str">
        <x:v>Yes</x:v>
      </x:c>
    </x:row>
    <x:row r="26" ht="112" customHeight="1">
      <x:c r="A26" s="73" t="str">
        <x:v>S025</x:v>
      </x:c>
      <x:c r="B26" s="74"/>
      <x:c r="C26" s="73" t="str">
        <x:v>Seed evidence map (pre-systematic)</x:v>
      </x:c>
      <x:c r="D26" s="73" t="str">
        <x:v>Targeted cornerstone search / citation chaining; mapped as P025</x:v>
      </x:c>
      <x:c r="E26" s="73" t="str">
        <x:v>DiffBIR: Toward Blind Image Restoration with Generative Diffusion Prior</x:v>
      </x:c>
      <x:c r="F26" s="73" t="n">
        <x:v>2024</x:v>
      </x:c>
      <x:c r="G26" s="73" t="str">
        <x:v>https://link.springer.com/chapter/10.1007/978-3-031-73202-7_25</x:v>
      </x:c>
      <x:c r="H26" s="73" t="str">
        <x:v>No</x:v>
      </x:c>
      <x:c r="I26" s="81" t="str">
        <x:v>AI pilot: advance</x:v>
      </x:c>
      <x:c r="J26" s="75" t="str">
        <x:v>Pending</x:v>
      </x:c>
      <x:c r="K26" s="75"/>
      <x:c r="L26" s="75" t="str">
        <x:v>2026-09-16 | AI only; human pending. Blind restoration with a generative prior. Basis: Publisher chapter abstract. Sources and full-text question: screening/pilot_02.json (P025).</x:v>
      </x:c>
      <x:c r="M26" s="75" t="str">
        <x:v>No</x:v>
      </x:c>
      <x:c r="N26" s="75" t="str">
        <x:v>Yes</x:v>
      </x:c>
    </x:row>
    <x:row r="27" ht="144" customHeight="1">
      <x:c r="A27" s="73" t="str">
        <x:v>S026</x:v>
      </x:c>
      <x:c r="B27" s="74"/>
      <x:c r="C27" s="73" t="str">
        <x:v>Seed evidence map (pre-systematic)</x:v>
      </x:c>
      <x:c r="D27" s="73" t="str">
        <x:v>Targeted cornerstone search / citation chaining; mapped as P026</x:v>
      </x:c>
      <x:c r="E27" s="73" t="str">
        <x:v>AverNet: All-in-One Video Restoration for Time-Varying Unknown Degradations</x:v>
      </x:c>
      <x:c r="F27" s="73" t="n">
        <x:v>2024</x:v>
      </x:c>
      <x:c r="G27" s="73" t="str">
        <x:v>https://proceedings.neurips.cc/paper_files/paper/2024/hash/e635a25e49e73adc51f76aef462ff2f8-Abstract-Conference.html</x:v>
      </x:c>
      <x:c r="H27" s="73" t="str">
        <x:v>No</x:v>
      </x:c>
      <x:c r="I27" s="93" t="str">
        <x:v>AI pilot: advance</x:v>
      </x:c>
      <x:c r="J27" s="99" t="str">
        <x:v>AI full-text: include</x:v>
      </x:c>
      <x:c r="K27" s="75" t="str"/>
      <x:c r="L27" s="75" t="str">
        <x:v>2026-09-16 | AI full-text include; human pending. Compound and time-varying acquisition degradation; §§4.1–4.2. Online text inspected; no local PDF saved. Version, read extent and technical extraction: screening/full_text_02.json (P026).</x:v>
      </x:c>
      <x:c r="M27" s="75" t="str">
        <x:v>No</x:v>
      </x:c>
      <x:c r="N27" s="75" t="str">
        <x:v>Yes</x:v>
      </x:c>
    </x:row>
    <x:row r="28" ht="112" customHeight="1">
      <x:c r="A28" s="73" t="str">
        <x:v>S027</x:v>
      </x:c>
      <x:c r="B28" s="74"/>
      <x:c r="C28" s="73" t="str">
        <x:v>Seed evidence map (pre-systematic)</x:v>
      </x:c>
      <x:c r="D28" s="73" t="str">
        <x:v>Targeted cornerstone search / citation chaining; mapped as P027</x:v>
      </x:c>
      <x:c r="E28" s="73" t="str">
        <x:v>SR+Codec: a Benchmark of Super-Resolution for Video Compression Bitrate Reduction</x:v>
      </x:c>
      <x:c r="F28" s="73" t="n">
        <x:v>2024</x:v>
      </x:c>
      <x:c r="G28" s="73" t="str">
        <x:v>https://bmvc2024.org/proceedings/959/</x:v>
      </x:c>
      <x:c r="H28" s="73" t="str">
        <x:v>No</x:v>
      </x:c>
      <x:c r="I28" s="81" t="str">
        <x:v>AI pilot: advance</x:v>
      </x:c>
      <x:c r="J28" s="75" t="str">
        <x:v>Pending</x:v>
      </x:c>
      <x:c r="K28" s="75"/>
      <x:c r="L28" s="75" t="str">
        <x:v>2026-09-16 | AI only; human pending. Codec-dependent restoration and generalization. Basis: Official BMVC proceedings abstract and citation. Sources and full-text question: screening/pilot_02.json (P027).</x:v>
      </x:c>
      <x:c r="M28" s="75" t="str">
        <x:v>No</x:v>
      </x:c>
      <x:c r="N28" s="75" t="str">
        <x:v>Yes</x:v>
      </x:c>
    </x:row>
    <x:row r="29" ht="144" customHeight="1">
      <x:c r="A29" s="73" t="str">
        <x:v>S028</x:v>
      </x:c>
      <x:c r="B29" s="74"/>
      <x:c r="C29" s="73" t="str">
        <x:v>Seed evidence map (pre-systematic)</x:v>
      </x:c>
      <x:c r="D29" s="73" t="str">
        <x:v>Targeted cornerstone search / citation chaining; mapped as P028</x:v>
      </x:c>
      <x:c r="E29" s="73" t="str">
        <x:v>Scaling Up to Excellence: Practicing Model Scaling for Photo-Realistic Image Restoration In the Wild</x:v>
      </x:c>
      <x:c r="F29" s="73" t="n">
        <x:v>2024</x:v>
      </x:c>
      <x:c r="G29" s="73" t="str">
        <x:v>https://arxiv.org/abs/2401.13627</x:v>
      </x:c>
      <x:c r="H29" s="73" t="str">
        <x:v>No</x:v>
      </x:c>
      <x:c r="I29" s="93" t="str">
        <x:v>AI pilot: advance</x:v>
      </x:c>
      <x:c r="J29" s="103" t="str">
        <x:v>AI full-text: include</x:v>
      </x:c>
      <x:c r="K29" s="75" t="str"/>
      <x:c r="L29" s="75" t="str">
        <x:v>2026-09-16 | AI full-text include; human pending. Blind compound restoration and qualitative hallucination analysis. Online text inspected; no local PDF saved. Version, read extent and technical extraction: screening/full_text_06.json (P028).</x:v>
      </x:c>
      <x:c r="M29" s="75" t="str">
        <x:v>No</x:v>
      </x:c>
      <x:c r="N29" s="75" t="str">
        <x:v>Yes</x:v>
      </x:c>
    </x:row>
    <x:row r="30" ht="112" customHeight="1">
      <x:c r="A30" s="73" t="str">
        <x:v>S029</x:v>
      </x:c>
      <x:c r="B30" s="74"/>
      <x:c r="C30" s="73" t="str">
        <x:v>Seed evidence map (pre-systematic)</x:v>
      </x:c>
      <x:c r="D30" s="73" t="str">
        <x:v>Targeted cornerstone search / citation chaining; mapped as P029</x:v>
      </x:c>
      <x:c r="E30" s="73" t="str">
        <x:v>Robust Unrolled Network for Lensless Imaging with Enhanced Resistance to Model Mismatch and Noise</x:v>
      </x:c>
      <x:c r="F30" s="73" t="n">
        <x:v>2024</x:v>
      </x:c>
      <x:c r="G30" s="73" t="str">
        <x:v>https://opg.optica.org/oe/abstract.cfm?uri=oe-32-17-30267</x:v>
      </x:c>
      <x:c r="H30" s="73" t="str">
        <x:v>No</x:v>
      </x:c>
      <x:c r="I30" s="81" t="str">
        <x:v>AI pilot: advance</x:v>
      </x:c>
      <x:c r="J30" s="75" t="str">
        <x:v>Pending</x:v>
      </x:c>
      <x:c r="K30" s="75"/>
      <x:c r="L30" s="75" t="str">
        <x:v>2026-09-16 | AI only; human pending. Explicit model-mismatch and noise robustness. Basis: Paper abstract indexed by PubMed and publisher citation. Sources and full-text question: screening/pilot_02.json (P029).</x:v>
      </x:c>
      <x:c r="M30" s="75" t="str">
        <x:v>No</x:v>
      </x:c>
      <x:c r="N30" s="75" t="str">
        <x:v>Yes</x:v>
      </x:c>
    </x:row>
    <x:row r="31" ht="112" customHeight="1">
      <x:c r="A31" s="73" t="str">
        <x:v>S030</x:v>
      </x:c>
      <x:c r="B31" s="74"/>
      <x:c r="C31" s="73" t="str">
        <x:v>Seed evidence map (pre-systematic)</x:v>
      </x:c>
      <x:c r="D31" s="73" t="str">
        <x:v>Targeted cornerstone search / citation chaining; mapped as P030</x:v>
      </x:c>
      <x:c r="E31" s="73" t="str">
        <x:v>Empirical Bayesian Imaging With Large-Scale Push-Forward Generative Priors</x:v>
      </x:c>
      <x:c r="F31" s="73" t="n">
        <x:v>2024</x:v>
      </x:c>
      <x:c r="G31" s="73" t="str">
        <x:v>https://doi.org/10.1109/LSP.2024.3361806</x:v>
      </x:c>
      <x:c r="H31" s="73" t="str">
        <x:v>No</x:v>
      </x:c>
      <x:c r="I31" s="81" t="str">
        <x:v>AI pilot: advance</x:v>
      </x:c>
      <x:c r="J31" s="75" t="str">
        <x:v>Pending</x:v>
      </x:c>
      <x:c r="K31" s="75"/>
      <x:c r="L31" s="75" t="str">
        <x:v>2026-09-16 | AI only; human pending. Bayesian reconstruction uncertainty. Basis: Authors' institutional publication abstract and author list. Sources and full-text question: screening/pilot_02.json (P030).</x:v>
      </x:c>
      <x:c r="M31" s="75" t="str">
        <x:v>No</x:v>
      </x:c>
      <x:c r="N31" s="75" t="str">
        <x:v>Yes</x:v>
      </x:c>
    </x:row>
    <x:row r="32" ht="112" customHeight="1">
      <x:c r="A32" s="73" t="str">
        <x:v>S031</x:v>
      </x:c>
      <x:c r="B32" s="74"/>
      <x:c r="C32" s="73" t="str">
        <x:v>Seed evidence map (pre-systematic)</x:v>
      </x:c>
      <x:c r="D32" s="73" t="str">
        <x:v>Targeted cornerstone search / citation chaining; mapped as P031</x:v>
      </x:c>
      <x:c r="E32" s="73" t="str">
        <x:v>The Troublesome Kernel: On Hallucinations, No Free Lunches, and the Accuracy-Stability Tradeoff in Inverse Problems</x:v>
      </x:c>
      <x:c r="F32" s="73" t="n">
        <x:v>2025</x:v>
      </x:c>
      <x:c r="G32" s="73" t="str">
        <x:v>https://doi.org/10.1137/23M1568739</x:v>
      </x:c>
      <x:c r="H32" s="73" t="str">
        <x:v>No</x:v>
      </x:c>
      <x:c r="I32" s="81" t="str">
        <x:v>AI pilot: advance</x:v>
      </x:c>
      <x:c r="J32" s="75" t="str">
        <x:v>Pending</x:v>
      </x:c>
      <x:c r="K32" s="75"/>
      <x:c r="L32" s="75" t="str">
        <x:v>2026-09-16 | AI only; human pending. Hallucination and accuracy–stability limits. Basis: Publisher abstract. Sources and full-text question: screening/pilot_02.json (P031).</x:v>
      </x:c>
      <x:c r="M32" s="75" t="str">
        <x:v>No</x:v>
      </x:c>
      <x:c r="N32" s="75" t="str">
        <x:v>Yes</x:v>
      </x:c>
    </x:row>
    <x:row r="33" ht="176" customHeight="1">
      <x:c r="A33" s="73" t="str">
        <x:v>S032</x:v>
      </x:c>
      <x:c r="B33" s="74"/>
      <x:c r="C33" s="73" t="str">
        <x:v>Seed evidence map (pre-systematic)</x:v>
      </x:c>
      <x:c r="D33" s="73" t="str">
        <x:v>Targeted cornerstone search / citation chaining; mapped as P032</x:v>
      </x:c>
      <x:c r="E33" s="73" t="str">
        <x:v>Uncertainty-Aware Fourier Ptychography</x:v>
      </x:c>
      <x:c r="F33" s="73" t="n">
        <x:v>2025</x:v>
      </x:c>
      <x:c r="G33" s="73" t="str">
        <x:v>https://doi.org/10.1038/s41377-025-01915-w</x:v>
      </x:c>
      <x:c r="H33" s="73" t="str">
        <x:v>No</x:v>
      </x:c>
      <x:c r="I33" s="93" t="str">
        <x:v>AI pilot: advance</x:v>
      </x:c>
      <x:c r="J33" s="75" t="str">
        <x:v>Pending</x:v>
      </x:c>
      <x:c r="K33" s="75"/>
      <x:c r="L33" s="75" t="str">
        <x:v>2026-09-16 | AI only; human pending. Uncertain acquisition in Fourier ptychographic reconstruction; conservative scope signal. Basis: Publisher title and indexed abstract excerpt only; complete abstract and full text blocked by retrieval challenges. Sources and full-text question: screening/pilot_02.json (P032). Revisit: Additional indexed publisher excerpt and PubMed locator; complete abstract/text still inaccessible; recommendation unchanged. See screening/pilot_03.json.</x:v>
      </x:c>
      <x:c r="M33" s="75" t="str">
        <x:v>No</x:v>
      </x:c>
      <x:c r="N33" s="75" t="str">
        <x:v>Yes</x:v>
      </x:c>
    </x:row>
    <x:row r="34" ht="144" customHeight="1">
      <x:c r="A34" s="73" t="str">
        <x:v>S033</x:v>
      </x:c>
      <x:c r="B34" s="74"/>
      <x:c r="C34" s="73" t="str">
        <x:v>Seed evidence map (pre-systematic)</x:v>
      </x:c>
      <x:c r="D34" s="73" t="str">
        <x:v>Targeted cornerstone search / citation chaining; mapped as P033</x:v>
      </x:c>
      <x:c r="E34" s="73" t="str">
        <x:v>Unsupervised Detection of Distribution Shift in Inverse Problems Using Diffusion Models</x:v>
      </x:c>
      <x:c r="F34" s="73" t="n">
        <x:v>2025</x:v>
      </x:c>
      <x:c r="G34" s="73" t="str">
        <x:v>https://arxiv.org/abs/2505.11482</x:v>
      </x:c>
      <x:c r="H34" s="73" t="str">
        <x:v>No</x:v>
      </x:c>
      <x:c r="I34" s="93" t="str">
        <x:v>AI pilot: advance</x:v>
      </x:c>
      <x:c r="J34" s="99" t="str">
        <x:v>AI full-text: include</x:v>
      </x:c>
      <x:c r="K34" s="75" t="str"/>
      <x:c r="L34" s="75" t="str">
        <x:v>2026-09-16 | AI full-text include; human pending. Distribution-shift detection using incomplete observations; §§2–3. Online text inspected; no local PDF saved. Version, read extent and technical extraction: screening/full_text_02.json (P033).</x:v>
      </x:c>
      <x:c r="M34" s="75" t="str">
        <x:v>No</x:v>
      </x:c>
      <x:c r="N34" s="75" t="str">
        <x:v>Yes</x:v>
      </x:c>
    </x:row>
    <x:row r="35" ht="144" customHeight="1">
      <x:c r="A35" s="73" t="str">
        <x:v>S034</x:v>
      </x:c>
      <x:c r="B35" s="74"/>
      <x:c r="C35" s="73" t="str">
        <x:v>Seed evidence map (pre-systematic)</x:v>
      </x:c>
      <x:c r="D35" s="73" t="str">
        <x:v>Targeted cornerstone search / citation chaining; mapped as P034</x:v>
      </x:c>
      <x:c r="E35" s="73" t="str">
        <x:v>Towards Distribution-Shift Uncertainty Estimation for Inverse Problems with Generative Priors</x:v>
      </x:c>
      <x:c r="F35" s="73" t="n">
        <x:v>2025</x:v>
      </x:c>
      <x:c r="G35" s="73" t="str">
        <x:v>https://arxiv.org/abs/2510.10947</x:v>
      </x:c>
      <x:c r="H35" s="73" t="str">
        <x:v>No</x:v>
      </x:c>
      <x:c r="I35" s="93" t="str">
        <x:v>AI pilot: advance</x:v>
      </x:c>
      <x:c r="J35" s="99" t="str">
        <x:v>AI full-text: include</x:v>
      </x:c>
      <x:c r="K35" s="75" t="str"/>
      <x:c r="L35" s="75" t="str">
        <x:v>2026-09-16 | AI full-text include; human pending. Prior-distribution shift and reconstruction uncertainty; §§III–IV. Online text inspected; no local PDF saved. Version, read extent and technical extraction: screening/full_text_02.json (P034).</x:v>
      </x:c>
      <x:c r="M35" s="75" t="str">
        <x:v>No</x:v>
      </x:c>
      <x:c r="N35" s="75" t="str">
        <x:v>Yes</x:v>
      </x:c>
    </x:row>
    <x:row r="36" ht="112" customHeight="1">
      <x:c r="A36" s="73" t="str">
        <x:v>S035</x:v>
      </x:c>
      <x:c r="B36" s="74"/>
      <x:c r="C36" s="73" t="str">
        <x:v>Seed evidence map (pre-systematic)</x:v>
      </x:c>
      <x:c r="D36" s="73" t="str">
        <x:v>Targeted cornerstone search / citation chaining; mapped as P035</x:v>
      </x:c>
      <x:c r="E36" s="73" t="str">
        <x:v>Mitigating Forward Model Mismatch in Inverse Problems via Learned Residuals and Diffusion Priors</x:v>
      </x:c>
      <x:c r="F36" s="73" t="n">
        <x:v>2026</x:v>
      </x:c>
      <x:c r="G36" s="73" t="str">
        <x:v>https://doi.org/10.1117/12.3098133</x:v>
      </x:c>
      <x:c r="H36" s="73" t="str">
        <x:v>No</x:v>
      </x:c>
      <x:c r="I36" s="81" t="str">
        <x:v>AI pilot: advance</x:v>
      </x:c>
      <x:c r="J36" s="75" t="str">
        <x:v>Pending</x:v>
      </x:c>
      <x:c r="K36" s="75"/>
      <x:c r="L36" s="75" t="str">
        <x:v>2026-09-16 | AI only; human pending. Learned residual compensation for forward-model mismatch. Basis: Authors' institutional abstract and complete proceedings metadata. Sources and full-text question: screening/pilot_02.json (P035).</x:v>
      </x:c>
      <x:c r="M36" s="75" t="str">
        <x:v>No</x:v>
      </x:c>
      <x:c r="N36" s="75" t="str">
        <x:v>Yes</x:v>
      </x:c>
    </x:row>
    <x:row r="37" ht="144" customHeight="1">
      <x:c r="A37" s="73" t="str">
        <x:v>S036</x:v>
      </x:c>
      <x:c r="B37" s="74"/>
      <x:c r="C37" s="73" t="str">
        <x:v>Seed evidence map (pre-systematic)</x:v>
      </x:c>
      <x:c r="D37" s="73" t="str">
        <x:v>Targeted cornerstone search / citation chaining; mapped as P036</x:v>
      </x:c>
      <x:c r="E37" s="73" t="str">
        <x:v>InverseNet: Benchmarking Operator Mismatch and Calibration Across Compressive Imaging Modalities</x:v>
      </x:c>
      <x:c r="F37" s="73" t="n">
        <x:v>2026</x:v>
      </x:c>
      <x:c r="G37" s="73" t="str">
        <x:v>https://arxiv.org/abs/2603.04538</x:v>
      </x:c>
      <x:c r="H37" s="73" t="str">
        <x:v>No</x:v>
      </x:c>
      <x:c r="I37" s="93" t="str">
        <x:v>AI pilot: advance</x:v>
      </x:c>
      <x:c r="J37" s="99" t="str">
        <x:v>AI full-text: include</x:v>
      </x:c>
      <x:c r="K37" s="75" t="str"/>
      <x:c r="L37" s="75" t="str">
        <x:v>2026-09-16 | AI full-text include; human pending. Controlled acquisition mismatch and blind calibration; §4. Online text inspected; no local PDF saved. Version, read extent and technical extraction: screening/full_text_02.json (P036).</x:v>
      </x:c>
      <x:c r="M37" s="75" t="str">
        <x:v>No</x:v>
      </x:c>
      <x:c r="N37" s="75" t="str">
        <x:v>Yes</x:v>
      </x:c>
    </x:row>
    <x:row r="38" ht="144" customHeight="1">
      <x:c r="A38" s="73" t="str">
        <x:v>S037</x:v>
      </x:c>
      <x:c r="B38" s="74"/>
      <x:c r="C38" s="73" t="str">
        <x:v>Seed evidence map (pre-systematic)</x:v>
      </x:c>
      <x:c r="D38" s="73" t="str">
        <x:v>Targeted cornerstone search / citation chaining; mapped as P037</x:v>
      </x:c>
      <x:c r="E38" s="73" t="str">
        <x:v>On Hallucinations in Inverse Problems: Fundamental Limits and Provable Assessment Methods</x:v>
      </x:c>
      <x:c r="F38" s="73" t="n">
        <x:v>2026</x:v>
      </x:c>
      <x:c r="G38" s="73" t="str">
        <x:v>https://arxiv.org/abs/2605.13146</x:v>
      </x:c>
      <x:c r="H38" s="73" t="str">
        <x:v>No</x:v>
      </x:c>
      <x:c r="I38" s="93" t="str">
        <x:v>AI pilot: advance</x:v>
      </x:c>
      <x:c r="J38" s="99" t="str">
        <x:v>AI full-text: include</x:v>
      </x:c>
      <x:c r="K38" s="75" t="str"/>
      <x:c r="L38" s="75" t="str">
        <x:v>2026-09-16 | AI full-text include; human pending. Hallucination limits and measurement-supported detail; §§3–4. Online text inspected; no local PDF saved. Version, read extent and technical extraction: screening/full_text_02.json (P037).</x:v>
      </x:c>
      <x:c r="M38" s="75" t="str">
        <x:v>No</x:v>
      </x:c>
      <x:c r="N38" s="75" t="str">
        <x:v>Yes</x:v>
      </x:c>
    </x:row>
    <x:row r="39" ht="144" customHeight="1">
      <x:c r="A39" s="73" t="str">
        <x:v>S038</x:v>
      </x:c>
      <x:c r="B39" s="74"/>
      <x:c r="C39" s="73" t="str">
        <x:v>Seed evidence map (pre-systematic)</x:v>
      </x:c>
      <x:c r="D39" s="73" t="str">
        <x:v>Targeted cornerstone search / citation chaining; mapped as P038</x:v>
      </x:c>
      <x:c r="E39" s="73" t="str">
        <x:v>PRISM: Probabilistic and Robust Inverse Solver with Measurement-Conditioned Diffusion Prior for Blind Inverse Problems</x:v>
      </x:c>
      <x:c r="F39" s="73" t="n">
        <x:v>2026</x:v>
      </x:c>
      <x:c r="G39" s="73" t="str">
        <x:v>https://doi.org/10.1109/ICASSP55912.2026.11462668</x:v>
      </x:c>
      <x:c r="H39" s="73" t="str">
        <x:v>No</x:v>
      </x:c>
      <x:c r="I39" s="93" t="str">
        <x:v>AI pilot: advance</x:v>
      </x:c>
      <x:c r="J39" s="95" t="str">
        <x:v>AI full-text: include</x:v>
      </x:c>
      <x:c r="K39" s="75" t="str"/>
      <x:c r="L39" s="75" t="str">
        <x:v>2026-09-16 | AI full-text include; human pending. Joint image/kernel inference and uncertainty; §§2–3. Online text inspected; no local PDF saved. Version, read extent and technical extraction: screening/full_text_01.json (P038).</x:v>
      </x:c>
      <x:c r="M39" s="75" t="str">
        <x:v>No</x:v>
      </x:c>
      <x:c r="N39" s="75" t="str">
        <x:v>Yes</x:v>
      </x:c>
    </x:row>
    <x:row r="40" ht="144" customHeight="1">
      <x:c r="A40" s="73" t="str">
        <x:v>S039</x:v>
      </x:c>
      <x:c r="B40" s="74"/>
      <x:c r="C40" s="73" t="str">
        <x:v>Seed evidence map (pre-systematic)</x:v>
      </x:c>
      <x:c r="D40" s="73" t="str">
        <x:v>Targeted cornerstone search / citation chaining; mapped as P039</x:v>
      </x:c>
      <x:c r="E40" s="73" t="str">
        <x:v>Adaptive Blind All-in-One Image Restoration</x:v>
      </x:c>
      <x:c r="F40" s="73" t="n">
        <x:v>2026</x:v>
      </x:c>
      <x:c r="G40" s="73" t="str">
        <x:v>https://doi.org/10.1016/j.cviu.2026.104795</x:v>
      </x:c>
      <x:c r="H40" s="73" t="str">
        <x:v>No</x:v>
      </x:c>
      <x:c r="I40" s="93" t="str">
        <x:v>AI pilot: advance</x:v>
      </x:c>
      <x:c r="J40" s="99" t="str">
        <x:v>AI full-text: include</x:v>
      </x:c>
      <x:c r="K40" s="75" t="str"/>
      <x:c r="L40" s="75" t="str">
        <x:v>2026-09-16 | AI full-text include; human pending. Unseen tasks and compound degradation; Tables 4–5. Online text inspected; no local PDF saved. Version, read extent and technical extraction: screening/full_text_02.json (P039).</x:v>
      </x:c>
      <x:c r="M40" s="75" t="str">
        <x:v>No</x:v>
      </x:c>
      <x:c r="N40" s="75" t="str">
        <x:v>Yes</x:v>
      </x:c>
    </x:row>
    <x:row r="41" ht="112" customHeight="1">
      <x:c r="A41" s="73" t="str">
        <x:v>S040</x:v>
      </x:c>
      <x:c r="B41" s="74"/>
      <x:c r="C41" s="73" t="str">
        <x:v>Seed evidence map (pre-systematic)</x:v>
      </x:c>
      <x:c r="D41" s="73" t="str">
        <x:v>Targeted cornerstone search / citation chaining; mapped as P040</x:v>
      </x:c>
      <x:c r="E41" s="73" t="str">
        <x:v>Video Diffusion Posterior Sampling for Seeing Beyond Dynamic Scattering Layers</x:v>
      </x:c>
      <x:c r="F41" s="73" t="n">
        <x:v>2025</x:v>
      </x:c>
      <x:c r="G41" s="73" t="str">
        <x:v>https://doi.org/10.1109/TPAMI.2025.3598457</x:v>
      </x:c>
      <x:c r="H41" s="73" t="str">
        <x:v>No</x:v>
      </x:c>
      <x:c r="I41" s="81" t="str">
        <x:v>AI pilot: advance</x:v>
      </x:c>
      <x:c r="J41" s="75" t="str">
        <x:v>Pending</x:v>
      </x:c>
      <x:c r="K41" s="75"/>
      <x:c r="L41" s="75" t="str">
        <x:v>2026-09-16 | AI only; human pending. Blind video reconstruction under dynamic physical degradation. Basis: Authors' institutional paper abstract and official repository experiment descriptions. Sources and full-text question: screening/pilot_02.json (P040).</x:v>
      </x:c>
      <x:c r="M41" s="75" t="str">
        <x:v>No</x:v>
      </x:c>
      <x:c r="N41" s="75" t="str">
        <x:v>Yes</x:v>
      </x:c>
    </x:row>
    <x:row r="42" ht="144" customHeight="1">
      <x:c r="A42" s="73" t="str">
        <x:v>S041</x:v>
      </x:c>
      <x:c r="B42" s="74"/>
      <x:c r="C42" s="73" t="str">
        <x:v>Seed evidence map (pre-systematic)</x:v>
      </x:c>
      <x:c r="D42" s="73" t="str">
        <x:v>Targeted cornerstone search / citation chaining; mapped as P041</x:v>
      </x:c>
      <x:c r="E42" s="73" t="str">
        <x:v>Uncertainty Quantification in HSI Reconstruction using Physics-Aware Diffusion Priors and Optics-Encoded Measurements</x:v>
      </x:c>
      <x:c r="F42" s="73" t="n">
        <x:v>2025</x:v>
      </x:c>
      <x:c r="G42" s="73" t="str">
        <x:v>https://arxiv.org/abs/2511.18473</x:v>
      </x:c>
      <x:c r="H42" s="73" t="str">
        <x:v>No</x:v>
      </x:c>
      <x:c r="I42" s="93" t="str">
        <x:v>AI pilot: advance</x:v>
      </x:c>
      <x:c r="J42" s="100" t="str">
        <x:v>AI full-text: include</x:v>
      </x:c>
      <x:c r="K42" s="75" t="str"/>
      <x:c r="L42" s="75" t="str">
        <x:v>2026-09-16 | AI full-text include; human pending. Image uncertainty, metamer ambiguity and domain shift; §§3–4. Online text inspected; no local PDF saved. Version, read extent and technical extraction: screening/full_text_03.json (P041).</x:v>
      </x:c>
      <x:c r="M42" s="75" t="str">
        <x:v>No</x:v>
      </x:c>
      <x:c r="N42" s="75" t="str">
        <x:v>Yes</x:v>
      </x:c>
    </x:row>
    <x:row r="43" ht="144" customHeight="1">
      <x:c r="A43" s="73" t="str">
        <x:v>S042</x:v>
      </x:c>
      <x:c r="B43" s="74"/>
      <x:c r="C43" s="73" t="str">
        <x:v>Seed evidence map (pre-systematic)</x:v>
      </x:c>
      <x:c r="D43" s="73" t="str">
        <x:v>Targeted cornerstone search / citation chaining; mapped as P042</x:v>
      </x:c>
      <x:c r="E43" s="73" t="str">
        <x:v>No-Harm Physics-Informed Inverse Learning with Residual-Calibrated Uncertainty</x:v>
      </x:c>
      <x:c r="F43" s="73" t="n">
        <x:v>2026</x:v>
      </x:c>
      <x:c r="G43" s="73" t="str">
        <x:v>https://arxiv.org/abs/2606.07153</x:v>
      </x:c>
      <x:c r="H43" s="73" t="str">
        <x:v>No</x:v>
      </x:c>
      <x:c r="I43" s="93" t="str">
        <x:v>AI pilot: advance</x:v>
      </x:c>
      <x:c r="J43" s="95" t="str">
        <x:v>AI full-text: include</x:v>
      </x:c>
      <x:c r="K43" s="75" t="str"/>
      <x:c r="L43" s="75" t="str">
        <x:v>2026-09-16 | AI full-text include; human pending. Residual uncertainty and accept/fallback rule; §§4–6. Online text inspected; no local PDF saved. Version, read extent and technical extraction: screening/full_text_01.json (P042).</x:v>
      </x:c>
      <x:c r="M43" s="75" t="str">
        <x:v>No</x:v>
      </x:c>
      <x:c r="N43" s="75" t="str">
        <x:v>Yes</x:v>
      </x:c>
    </x:row>
    <x:row r="44" ht="144" customHeight="1">
      <x:c r="A44" s="73" t="str">
        <x:v>S043</x:v>
      </x:c>
      <x:c r="B44" s="74"/>
      <x:c r="C44" s="73" t="str">
        <x:v>Seed evidence map (pre-systematic)</x:v>
      </x:c>
      <x:c r="D44" s="73" t="str">
        <x:v>Targeted cornerstone search / citation chaining; mapped as P043</x:v>
      </x:c>
      <x:c r="E44" s="73" t="str">
        <x:v>Model Adaptation for Inverse Problems in Imaging</x:v>
      </x:c>
      <x:c r="F44" s="73" t="n">
        <x:v>2021</x:v>
      </x:c>
      <x:c r="G44" s="73" t="str">
        <x:v>https://doi.org/10.1109/TCI.2021.3094714</x:v>
      </x:c>
      <x:c r="H44" s="73" t="str">
        <x:v>No</x:v>
      </x:c>
      <x:c r="I44" s="91" t="str">
        <x:v>AI pilot: advance</x:v>
      </x:c>
      <x:c r="J44" s="75" t="str">
        <x:v>Pending</x:v>
      </x:c>
      <x:c r="K44" s="75"/>
      <x:c r="L44" s="75" t="str">
        <x:v>2026-09-16 | AI only; human pending. Adaptation to changing or partially known forward models. Basis: Complete author preprint abstract; existing journal citation retained. Sources and full-text question: screening/pilot_03.json (P043).</x:v>
      </x:c>
      <x:c r="M44" s="75" t="str">
        <x:v>No</x:v>
      </x:c>
      <x:c r="N44" s="75" t="str">
        <x:v>Yes</x:v>
      </x:c>
    </x:row>
    <x:row r="45" ht="144" customHeight="1">
      <x:c r="A45" s="73" t="str">
        <x:v>S044</x:v>
      </x:c>
      <x:c r="B45" s="74"/>
      <x:c r="C45" s="73" t="str">
        <x:v>Seed evidence map (pre-systematic)</x:v>
      </x:c>
      <x:c r="D45" s="73" t="str">
        <x:v>Targeted cornerstone search / citation chaining; mapped as P044</x:v>
      </x:c>
      <x:c r="E45" s="73" t="str">
        <x:v>Robust Lensless Image Reconstruction via PSF Estimation</x:v>
      </x:c>
      <x:c r="F45" s="73" t="n">
        <x:v>2021</x:v>
      </x:c>
      <x:c r="G45" s="73" t="str">
        <x:v>https://doi.org/10.1109/WACV48630.2021.00045</x:v>
      </x:c>
      <x:c r="H45" s="73" t="str">
        <x:v>No</x:v>
      </x:c>
      <x:c r="I45" s="91" t="str">
        <x:v>AI pilot: advance</x:v>
      </x:c>
      <x:c r="J45" s="75" t="str">
        <x:v>Pending</x:v>
      </x:c>
      <x:c r="K45" s="75"/>
      <x:c r="L45" s="75" t="str">
        <x:v>2026-09-16 | AI only; human pending. Joint image/PSF estimation without test-time PSF access. Basis: Complete institutional publication abstract and DOI metadata. Sources and full-text question: screening/pilot_03.json (P044).</x:v>
      </x:c>
      <x:c r="M45" s="75" t="str">
        <x:v>No</x:v>
      </x:c>
      <x:c r="N45" s="75" t="str">
        <x:v>Yes</x:v>
      </x:c>
    </x:row>
    <x:row r="46" ht="144" customHeight="1">
      <x:c r="A46" s="73" t="str">
        <x:v>S045</x:v>
      </x:c>
      <x:c r="B46" s="74"/>
      <x:c r="C46" s="73" t="str">
        <x:v>Seed evidence map (pre-systematic)</x:v>
      </x:c>
      <x:c r="D46" s="73" t="str">
        <x:v>Targeted cornerstone search / citation chaining; mapped as P045</x:v>
      </x:c>
      <x:c r="E46" s="73" t="str">
        <x:v>Block Coordinate Plug-and-Play Methods for Blind Inverse Problems</x:v>
      </x:c>
      <x:c r="F46" s="73" t="n">
        <x:v>2023</x:v>
      </x:c>
      <x:c r="G46" s="73" t="str">
        <x:v>https://proceedings.neurips.cc/paper_files/paper/2023/hash/f810c2ba07bae78dfe9d25c5d40c5536-Abstract-Conference.html</x:v>
      </x:c>
      <x:c r="H46" s="73" t="str">
        <x:v>No</x:v>
      </x:c>
      <x:c r="I46" s="93" t="str">
        <x:v>AI pilot: advance</x:v>
      </x:c>
      <x:c r="J46" s="99" t="str">
        <x:v>AI full-text: include</x:v>
      </x:c>
      <x:c r="K46" s="75" t="str"/>
      <x:c r="L46" s="75" t="str">
        <x:v>2026-09-16 | AI full-text include; human pending. Joint image/operator estimation; §3. Online text inspected; no local PDF saved. Version, read extent and technical extraction: screening/full_text_02.json (P045).</x:v>
      </x:c>
      <x:c r="M46" s="75" t="str">
        <x:v>No</x:v>
      </x:c>
      <x:c r="N46" s="75" t="str">
        <x:v>Yes</x:v>
      </x:c>
    </x:row>
    <x:row r="47" ht="144" customHeight="1">
      <x:c r="A47" s="73" t="str">
        <x:v>S046</x:v>
      </x:c>
      <x:c r="B47" s="74"/>
      <x:c r="C47" s="73" t="str">
        <x:v>Seed evidence map (pre-systematic)</x:v>
      </x:c>
      <x:c r="D47" s="73" t="str">
        <x:v>Targeted cornerstone search / citation chaining; mapped as P046</x:v>
      </x:c>
      <x:c r="E47" s="73" t="str">
        <x:v>Training Adaptive Reconstruction Networks for Blind Inverse Problems</x:v>
      </x:c>
      <x:c r="F47" s="73" t="n">
        <x:v>2024</x:v>
      </x:c>
      <x:c r="G47" s="73" t="str">
        <x:v>https://doi.org/10.1137/23M1545628</x:v>
      </x:c>
      <x:c r="H47" s="73" t="str">
        <x:v>No</x:v>
      </x:c>
      <x:c r="I47" s="91" t="str">
        <x:v>AI pilot: advance</x:v>
      </x:c>
      <x:c r="J47" s="75" t="str">
        <x:v>Pending</x:v>
      </x:c>
      <x:c r="K47" s="75"/>
      <x:c r="L47" s="75" t="str">
        <x:v>2026-09-16 | AI only; human pending. Operator-family adaptation and blind reconstruction. Basis: Complete author preprint abstract and SIAM citation. Sources and full-text question: screening/pilot_03.json (P046).</x:v>
      </x:c>
      <x:c r="M47" s="75" t="str">
        <x:v>No</x:v>
      </x:c>
      <x:c r="N47" s="75" t="str">
        <x:v>Yes</x:v>
      </x:c>
    </x:row>
    <x:row r="48" ht="144" customHeight="1">
      <x:c r="A48" s="73" t="str">
        <x:v>S047</x:v>
      </x:c>
      <x:c r="B48" s="74"/>
      <x:c r="C48" s="73" t="str">
        <x:v>Seed evidence map (pre-systematic)</x:v>
      </x:c>
      <x:c r="D48" s="73" t="str">
        <x:v>Targeted cornerstone search / citation chaining; mapped as P047</x:v>
      </x:c>
      <x:c r="E48" s="73" t="str">
        <x:v>Solving Inverse Problems with Model Mismatch using Untrained Neural Networks within Model-based Architectures</x:v>
      </x:c>
      <x:c r="F48" s="73" t="n">
        <x:v>2024</x:v>
      </x:c>
      <x:c r="G48" s="73" t="str">
        <x:v>https://openreview.net/forum?id=XHEhjDxPDl</x:v>
      </x:c>
      <x:c r="H48" s="73" t="str">
        <x:v>No</x:v>
      </x:c>
      <x:c r="I48" s="93" t="str">
        <x:v>AI pilot: advance</x:v>
      </x:c>
      <x:c r="J48" s="99" t="str">
        <x:v>AI full-text: include</x:v>
      </x:c>
      <x:c r="K48" s="75" t="str"/>
      <x:c r="L48" s="75" t="str">
        <x:v>2026-09-16 | AI full-text include; human pending. Adaptive forward-model correction; §§3–4. Online text inspected; no local PDF saved. Version, read extent and technical extraction: screening/full_text_02.json (P047).</x:v>
      </x:c>
      <x:c r="M48" s="75" t="str">
        <x:v>No</x:v>
      </x:c>
      <x:c r="N48" s="75" t="str">
        <x:v>Yes</x:v>
      </x:c>
    </x:row>
    <x:row r="49" ht="144" customHeight="1">
      <x:c r="A49" s="73" t="str">
        <x:v>S048</x:v>
      </x:c>
      <x:c r="B49" s="74"/>
      <x:c r="C49" s="73" t="str">
        <x:v>Seed evidence map (pre-systematic)</x:v>
      </x:c>
      <x:c r="D49" s="73" t="str">
        <x:v>Targeted cornerstone search / citation chaining; mapped as P048</x:v>
      </x:c>
      <x:c r="E49" s="73" t="str">
        <x:v>Plug-and-Play Posterior Sampling under Mismatched Measurement and Prior Models</x:v>
      </x:c>
      <x:c r="F49" s="73" t="n">
        <x:v>2024</x:v>
      </x:c>
      <x:c r="G49" s="73" t="str">
        <x:v>https://proceedings.iclr.cc/paper_files/paper/2024/hash/2a2874875861f6a6436b505dd77683d1-Abstract-Conference.html</x:v>
      </x:c>
      <x:c r="H49" s="73" t="str">
        <x:v>No</x:v>
      </x:c>
      <x:c r="I49" s="93" t="str">
        <x:v>AI pilot: advance</x:v>
      </x:c>
      <x:c r="J49" s="95" t="str">
        <x:v>AI full-text: include</x:v>
      </x:c>
      <x:c r="K49" s="75" t="str"/>
      <x:c r="L49" s="75" t="str">
        <x:v>2026-09-16 | AI full-text include; human pending. Denoiser and supplied measurement-operator mismatch; §§3–5. Online text inspected; no local PDF saved. Version, read extent and technical extraction: screening/full_text_01.json (P048).</x:v>
      </x:c>
      <x:c r="M49" s="75" t="str">
        <x:v>No</x:v>
      </x:c>
      <x:c r="N49" s="75" t="str">
        <x:v>Yes</x:v>
      </x:c>
    </x:row>
    <x:row r="50" ht="144" customHeight="1">
      <x:c r="A50" s="73" t="str">
        <x:v>S049</x:v>
      </x:c>
      <x:c r="B50" s="74"/>
      <x:c r="C50" s="73" t="str">
        <x:v>Seed evidence map (pre-systematic)</x:v>
      </x:c>
      <x:c r="D50" s="73" t="str">
        <x:v>Targeted cornerstone search / citation chaining; mapped as P049</x:v>
      </x:c>
      <x:c r="E50" s="73" t="str">
        <x:v>DeepVibes: Correcting Micro-Vibrations in Satellite Imaging With Pushbroom Cameras</x:v>
      </x:c>
      <x:c r="F50" s="73" t="n">
        <x:v>2024</x:v>
      </x:c>
      <x:c r="G50" s="73" t="str">
        <x:v>https://doi.org/10.1109/TGRS.2024.3415372</x:v>
      </x:c>
      <x:c r="H50" s="73" t="str">
        <x:v>No</x:v>
      </x:c>
      <x:c r="I50" s="91" t="str">
        <x:v>AI pilot: advance</x:v>
      </x:c>
      <x:c r="J50" s="75" t="str">
        <x:v>Pending</x:v>
      </x:c>
      <x:c r="K50" s="75"/>
      <x:c r="L50" s="75" t="str">
        <x:v>2026-09-16 | AI only; human pending. Explicit correction of acquisition micro-vibrations in pushbroom satellite imaging. Basis: Publisher-indexed title and abstract excerpt; IEEE PDF retrieval failed and HAL challenged. Sources and full-text question: screening/pilot_03.json (P049).</x:v>
      </x:c>
      <x:c r="M50" s="75" t="str">
        <x:v>No</x:v>
      </x:c>
      <x:c r="N50" s="75" t="str">
        <x:v>Yes</x:v>
      </x:c>
    </x:row>
    <x:row r="51" ht="144" customHeight="1">
      <x:c r="A51" s="73" t="str">
        <x:v>S050</x:v>
      </x:c>
      <x:c r="B51" s="74"/>
      <x:c r="C51" s="73" t="str">
        <x:v>Seed evidence map (pre-systematic)</x:v>
      </x:c>
      <x:c r="D51" s="73" t="str">
        <x:v>Targeted cornerstone search / citation chaining; mapped as P050</x:v>
      </x:c>
      <x:c r="E51" s="73" t="str">
        <x:v>Blind Inverse Problem Solving Made Easy by Text-to-Image Latent Diffusion</x:v>
      </x:c>
      <x:c r="F51" s="73" t="n">
        <x:v>2025</x:v>
      </x:c>
      <x:c r="G51" s="73" t="str">
        <x:v>https://arxiv.org/abs/2412.00557</x:v>
      </x:c>
      <x:c r="H51" s="73" t="str">
        <x:v>No</x:v>
      </x:c>
      <x:c r="I51" s="93" t="str">
        <x:v>AI pilot: advance</x:v>
      </x:c>
      <x:c r="J51" s="100" t="str">
        <x:v>AI full-text: include</x:v>
      </x:c>
      <x:c r="K51" s="75" t="str"/>
      <x:c r="L51" s="75" t="str">
        <x:v>2026-09-16 | AI full-text include; human pending. Unknown operator approximation; §3. Online text inspected; no local PDF saved. Version, read extent and technical extraction: screening/full_text_03.json (P050).</x:v>
      </x:c>
      <x:c r="M51" s="75" t="str">
        <x:v>No</x:v>
      </x:c>
      <x:c r="N51" s="75" t="str">
        <x:v>Yes</x:v>
      </x:c>
    </x:row>
    <x:row r="52" ht="144" customHeight="1">
      <x:c r="A52" s="73" t="str">
        <x:v>S051</x:v>
      </x:c>
      <x:c r="B52" s="74"/>
      <x:c r="C52" s="73" t="str">
        <x:v>Seed evidence map (pre-systematic)</x:v>
      </x:c>
      <x:c r="D52" s="73" t="str">
        <x:v>Targeted cornerstone search / citation chaining; mapped as P051</x:v>
      </x:c>
      <x:c r="E52" s="73" t="str">
        <x:v>ADOBI: Adaptive Diffusion Bridge For Blind Inverse Problems with Application to MRI Reconstruction</x:v>
      </x:c>
      <x:c r="F52" s="73" t="n">
        <x:v>2026</x:v>
      </x:c>
      <x:c r="G52" s="73" t="str">
        <x:v>https://doi.org/10.1109/TCI.2026.3678407</x:v>
      </x:c>
      <x:c r="H52" s="73" t="str">
        <x:v>No</x:v>
      </x:c>
      <x:c r="I52" s="93" t="str">
        <x:v>AI pilot: advance</x:v>
      </x:c>
      <x:c r="J52" s="100" t="str">
        <x:v>AI full-text: include</x:v>
      </x:c>
      <x:c r="K52" s="75" t="str"/>
      <x:c r="L52" s="75" t="str">
        <x:v>2026-09-16 | AI full-text include; human pending. Uncertain sensitivity maps and image variability; §§3, 5.2. Online text inspected; no local PDF saved. Version, read extent and technical extraction: screening/full_text_03.json (P051).</x:v>
      </x:c>
      <x:c r="M52" s="75" t="str">
        <x:v>No</x:v>
      </x:c>
      <x:c r="N52" s="75" t="str">
        <x:v>Yes</x:v>
      </x:c>
    </x:row>
    <x:row r="53" ht="144" customHeight="1">
      <x:c r="A53" s="73" t="str">
        <x:v>S052</x:v>
      </x:c>
      <x:c r="B53" s="74"/>
      <x:c r="C53" s="73" t="str">
        <x:v>Seed evidence map (pre-systematic)</x:v>
      </x:c>
      <x:c r="D53" s="73" t="str">
        <x:v>Targeted cornerstone search / citation chaining; mapped as P052</x:v>
      </x:c>
      <x:c r="E53" s="73" t="str">
        <x:v>Resolving Blind Inverse Problems under Dynamic Range Compression via Structured Forward Operator Modeling</x:v>
      </x:c>
      <x:c r="F53" s="73" t="n">
        <x:v>2026</x:v>
      </x:c>
      <x:c r="G53" s="73" t="str">
        <x:v>https://arxiv.org/abs/2603.01890</x:v>
      </x:c>
      <x:c r="H53" s="73" t="str">
        <x:v>No</x:v>
      </x:c>
      <x:c r="I53" s="93" t="str">
        <x:v>AI pilot: advance</x:v>
      </x:c>
      <x:c r="J53" s="100" t="str">
        <x:v>AI full-text: include</x:v>
      </x:c>
      <x:c r="K53" s="75" t="str"/>
      <x:c r="L53" s="75" t="str">
        <x:v>2026-09-16 | AI full-text include; human pending. Unknown structured intensity operator; §§3–4. Online text inspected; no local PDF saved. Version, read extent and technical extraction: screening/full_text_03.json (P052).</x:v>
      </x:c>
      <x:c r="M53" s="75" t="str">
        <x:v>No</x:v>
      </x:c>
      <x:c r="N53" s="75" t="str">
        <x:v>Yes</x:v>
      </x:c>
    </x:row>
    <x:row r="54" ht="144" customHeight="1">
      <x:c r="A54" s="73" t="str">
        <x:v>S053</x:v>
      </x:c>
      <x:c r="B54" s="74"/>
      <x:c r="C54" s="73" t="str">
        <x:v>Seed evidence map (pre-systematic)</x:v>
      </x:c>
      <x:c r="D54" s="73" t="str">
        <x:v>Targeted cornerstone search / citation chaining; mapped as P053</x:v>
      </x:c>
      <x:c r="E54" s="73" t="str">
        <x:v>FaverNet: All-in-One Video Restoration via Frequency-Discriminative Conditioning</x:v>
      </x:c>
      <x:c r="F54" s="73" t="n">
        <x:v>2026</x:v>
      </x:c>
      <x:c r="G54" s="73" t="str">
        <x:v>https://doi.org/10.1007/s11263-026-02977-y</x:v>
      </x:c>
      <x:c r="H54" s="73" t="str">
        <x:v>No</x:v>
      </x:c>
      <x:c r="I54" s="91" t="str">
        <x:v>AI pilot: advance</x:v>
      </x:c>
      <x:c r="J54" s="75" t="str">
        <x:v>Pending</x:v>
      </x:c>
      <x:c r="K54" s="75"/>
      <x:c r="L54" s="75" t="str">
        <x:v>2026-09-16 | AI only; human pending. Unknown and time-varying multi-degradation video restoration. Basis: Complete publisher abstract and publication metadata. Sources and full-text question: screening/pilot_03.json (P053).</x:v>
      </x:c>
      <x:c r="M54" s="75" t="str">
        <x:v>No</x:v>
      </x:c>
      <x:c r="N54" s="75" t="str">
        <x:v>Yes</x:v>
      </x:c>
    </x:row>
    <x:row r="55" ht="144" customHeight="1">
      <x:c r="A55" s="73" t="str">
        <x:v>S054</x:v>
      </x:c>
      <x:c r="B55" s="74"/>
      <x:c r="C55" s="73" t="str">
        <x:v>Seed evidence map (pre-systematic)</x:v>
      </x:c>
      <x:c r="D55" s="73" t="str">
        <x:v>Targeted cornerstone search / citation chaining; mapped as P054</x:v>
      </x:c>
      <x:c r="E55" s="73" t="str">
        <x:v>Towards Real-world Event-guided Low-light Video Enhancement and Deblurring</x:v>
      </x:c>
      <x:c r="F55" s="73" t="n">
        <x:v>2024</x:v>
      </x:c>
      <x:c r="G55" s="73" t="str">
        <x:v>https://doi.org/10.1007/978-3-031-73254-6_25</x:v>
      </x:c>
      <x:c r="H55" s="73" t="str">
        <x:v>No</x:v>
      </x:c>
      <x:c r="I55" s="93" t="str">
        <x:v>AI pilot: advance</x:v>
      </x:c>
      <x:c r="J55" s="101" t="str">
        <x:v>AI full-text: include</x:v>
      </x:c>
      <x:c r="K55" s="75" t="str"/>
      <x:c r="L55" s="75" t="str">
        <x:v>2026-09-16 | AI full-text include; human pending. Combined low light, noise and motion blur; §§3–4. Online text inspected; no local PDF saved. Version, read extent and technical extraction: screening/full_text_04.json (P054).</x:v>
      </x:c>
      <x:c r="M55" s="75" t="str">
        <x:v>No</x:v>
      </x:c>
      <x:c r="N55" s="75" t="str">
        <x:v>Yes</x:v>
      </x:c>
    </x:row>
    <x:row r="56" ht="144" customHeight="1">
      <x:c r="A56" s="73" t="str">
        <x:v>S055</x:v>
      </x:c>
      <x:c r="B56" s="74"/>
      <x:c r="C56" s="73" t="str">
        <x:v>Seed evidence map (pre-systematic)</x:v>
      </x:c>
      <x:c r="D56" s="73" t="str">
        <x:v>Targeted cornerstone search / citation chaining; mapped as P055</x:v>
      </x:c>
      <x:c r="E56" s="73" t="str">
        <x:v>LEDNet: Joint Low-Light Enhancement and Deblurring in the Dark</x:v>
      </x:c>
      <x:c r="F56" s="73" t="n">
        <x:v>2022</x:v>
      </x:c>
      <x:c r="G56" s="73" t="str">
        <x:v>https://doi.org/10.1007/978-3-031-20068-7_33</x:v>
      </x:c>
      <x:c r="H56" s="73" t="str">
        <x:v>No</x:v>
      </x:c>
      <x:c r="I56" s="91" t="str">
        <x:v>AI pilot: advance</x:v>
      </x:c>
      <x:c r="J56" s="75" t="str">
        <x:v>Pending</x:v>
      </x:c>
      <x:c r="K56" s="75"/>
      <x:c r="L56" s="75" t="str">
        <x:v>2026-09-16 | AI only; human pending. Joint low-light enhancement and deblurring. Basis: Complete author preprint abstract. Sources and full-text question: screening/pilot_03.json (P055).</x:v>
      </x:c>
      <x:c r="M56" s="75" t="str">
        <x:v>No</x:v>
      </x:c>
      <x:c r="N56" s="75" t="str">
        <x:v>Yes</x:v>
      </x:c>
    </x:row>
    <x:row r="57" ht="144" customHeight="1">
      <x:c r="A57" s="73" t="str">
        <x:v>S056</x:v>
      </x:c>
      <x:c r="B57" s="74"/>
      <x:c r="C57" s="73" t="str">
        <x:v>Seed evidence map (pre-systematic)</x:v>
      </x:c>
      <x:c r="D57" s="73" t="str">
        <x:v>Targeted cornerstone search / citation chaining; mapped as P056</x:v>
      </x:c>
      <x:c r="E57" s="73" t="str">
        <x:v>Investigating Tradeoffs in Real-World Video Super-Resolution</x:v>
      </x:c>
      <x:c r="F57" s="73" t="n">
        <x:v>2022</x:v>
      </x:c>
      <x:c r="G57" s="73" t="str">
        <x:v>https://doi.org/10.1109/CVPR52688.2022.00587</x:v>
      </x:c>
      <x:c r="H57" s="73" t="str">
        <x:v>No</x:v>
      </x:c>
      <x:c r="I57" s="93" t="str">
        <x:v>AI pilot: advance</x:v>
      </x:c>
      <x:c r="J57" s="101" t="str">
        <x:v>AI full-text: include</x:v>
      </x:c>
      <x:c r="K57" s="75" t="str"/>
      <x:c r="L57" s="75" t="str">
        <x:v>2026-09-16 | AI full-text include; human pending. Compound/time-varying training degradation; §4.1. Online text inspected; no local PDF saved. Version, read extent and technical extraction: screening/full_text_04.json (P056).</x:v>
      </x:c>
      <x:c r="M57" s="75" t="str">
        <x:v>No</x:v>
      </x:c>
      <x:c r="N57" s="75" t="str">
        <x:v>Yes</x:v>
      </x:c>
    </x:row>
    <x:row r="58" ht="144" customHeight="1">
      <x:c r="A58" s="73" t="str">
        <x:v>S057</x:v>
      </x:c>
      <x:c r="B58" s="74"/>
      <x:c r="C58" s="73" t="str">
        <x:v>Seed evidence map (pre-systematic)</x:v>
      </x:c>
      <x:c r="D58" s="73" t="str">
        <x:v>Targeted cornerstone search / citation chaining; mapped as P057</x:v>
      </x:c>
      <x:c r="E58" s="73" t="str">
        <x:v>Expanding Synthetic Real-World Degradations for Blind Video Super Resolution</x:v>
      </x:c>
      <x:c r="F58" s="73" t="n">
        <x:v>2023</x:v>
      </x:c>
      <x:c r="G58" s="73" t="str">
        <x:v>https://doi.org/10.1109/CVPRW59228.2023.00127</x:v>
      </x:c>
      <x:c r="H58" s="73" t="str">
        <x:v>No</x:v>
      </x:c>
      <x:c r="I58" s="93" t="str">
        <x:v>AI pilot: advance</x:v>
      </x:c>
      <x:c r="J58" s="101" t="str">
        <x:v>AI full-text: include</x:v>
      </x:c>
      <x:c r="K58" s="75" t="str"/>
      <x:c r="L58" s="75" t="str">
        <x:v>2026-09-16 | AI full-text include; human pending. Synthetic compound degradation and real transfer; §§3–5. Online text inspected; no local PDF saved. Version, read extent and technical extraction: screening/full_text_04.json (P057).</x:v>
      </x:c>
      <x:c r="M58" s="75" t="str">
        <x:v>No</x:v>
      </x:c>
      <x:c r="N58" s="75" t="str">
        <x:v>Yes</x:v>
      </x:c>
    </x:row>
    <x:row r="59" ht="144" customHeight="1">
      <x:c r="A59" s="73" t="str">
        <x:v>S058</x:v>
      </x:c>
      <x:c r="B59" s="74"/>
      <x:c r="C59" s="73" t="str">
        <x:v>Seed evidence map (pre-systematic)</x:v>
      </x:c>
      <x:c r="D59" s="73" t="str">
        <x:v>Targeted cornerstone search / citation chaining; mapped as P058</x:v>
      </x:c>
      <x:c r="E59" s="73" t="str">
        <x:v>Real-world Video Super-resolution: A Benchmark Dataset and a Decomposition Based Learning Scheme</x:v>
      </x:c>
      <x:c r="F59" s="73" t="n">
        <x:v>2021</x:v>
      </x:c>
      <x:c r="G59" s="73" t="str">
        <x:v>https://doi.org/10.1109/ICCV48922.2021.00474</x:v>
      </x:c>
      <x:c r="H59" s="73" t="str">
        <x:v>No</x:v>
      </x:c>
      <x:c r="I59" s="91" t="str">
        <x:v>AI pilot: advance</x:v>
      </x:c>
      <x:c r="J59" s="75" t="str">
        <x:v>Pending</x:v>
      </x:c>
      <x:c r="K59" s="75"/>
      <x:c r="L59" s="75" t="str">
        <x:v>2026-09-16 | AI only; human pending. Real acquisition mismatch and cross-camera video restoration. Basis: Complete institutional publication abstract and DOI metadata. Sources and full-text question: screening/pilot_03.json (P058).</x:v>
      </x:c>
      <x:c r="M59" s="75" t="str">
        <x:v>No</x:v>
      </x:c>
      <x:c r="N59" s="75" t="str">
        <x:v>Yes</x:v>
      </x:c>
    </x:row>
    <x:row r="60" ht="144" customHeight="1">
      <x:c r="A60" s="73" t="str">
        <x:v>S059</x:v>
      </x:c>
      <x:c r="B60" s="74"/>
      <x:c r="C60" s="73" t="str">
        <x:v>Seed evidence map (pre-systematic)</x:v>
      </x:c>
      <x:c r="D60" s="73" t="str">
        <x:v>Targeted cornerstone search / citation chaining; mapped as P059</x:v>
      </x:c>
      <x:c r="E60" s="73" t="str">
        <x:v>Real-World Video Deblurring: A Benchmark Dataset and an Efficient Recurrent Neural Network</x:v>
      </x:c>
      <x:c r="F60" s="73" t="n">
        <x:v>2023</x:v>
      </x:c>
      <x:c r="G60" s="73" t="str">
        <x:v>https://doi.org/10.1007/s11263-022-01705-6</x:v>
      </x:c>
      <x:c r="H60" s="73" t="str">
        <x:v>No</x:v>
      </x:c>
      <x:c r="I60" s="91" t="str">
        <x:v>AI pilot: advance</x:v>
      </x:c>
      <x:c r="J60" s="75" t="str">
        <x:v>Pending</x:v>
      </x:c>
      <x:c r="K60" s="75"/>
      <x:c r="L60" s="75" t="str">
        <x:v>2026-09-16 | AI only; human pending. Real blurred/sharp video acquisition and cross-dataset generalization. Basis: Complete author abstract and publisher journal metadata. Sources and full-text question: screening/pilot_03.json (P059).</x:v>
      </x:c>
      <x:c r="M60" s="75" t="str">
        <x:v>No</x:v>
      </x:c>
      <x:c r="N60" s="75" t="str">
        <x:v>Yes</x:v>
      </x:c>
    </x:row>
    <x:row r="61" ht="144" customHeight="1">
      <x:c r="A61" s="73" t="str">
        <x:v>S060</x:v>
      </x:c>
      <x:c r="B61" s="74"/>
      <x:c r="C61" s="73" t="str">
        <x:v>Seed evidence map (pre-systematic)</x:v>
      </x:c>
      <x:c r="D61" s="73" t="str">
        <x:v>Targeted cornerstone search / citation chaining; mapped as P060</x:v>
      </x:c>
      <x:c r="E61" s="73" t="str">
        <x:v>CQAD: An Image Quality Assessment Dataset for CCTV</x:v>
      </x:c>
      <x:c r="F61" s="73" t="n">
        <x:v>2025</x:v>
      </x:c>
      <x:c r="G61" s="73" t="str">
        <x:v>https://doi.org/10.33851/JMIS.2025.12.3.81</x:v>
      </x:c>
      <x:c r="H61" s="73" t="str">
        <x:v>No</x:v>
      </x:c>
      <x:c r="I61" s="94" t="str">
        <x:v>AI pilot: unclear</x:v>
      </x:c>
      <x:c r="J61" s="96" t="str">
        <x:v>AI full-text: exclude</x:v>
      </x:c>
      <x:c r="K61" s="75" t="str">
        <x:v>Other</x:v>
      </x:c>
      <x:c r="L61" s="75" t="str">
        <x:v>2026-09-16 | AI full-text exclude; human pending. Criterion 2: IQA is central; no central inverse/restoration experiment. Retain as an ancillary dataset reference. Online text inspected; no local PDF saved. Version, read extent and technical extraction: screening/full_text_01.json (P060).</x:v>
      </x:c>
      <x:c r="M61" s="75" t="str">
        <x:v>No</x:v>
      </x:c>
      <x:c r="N61" s="75" t="str">
        <x:v>Yes</x:v>
      </x:c>
    </x:row>
    <x:row r="62" ht="144" customHeight="1">
      <x:c r="A62" s="73" t="str">
        <x:v>S061</x:v>
      </x:c>
      <x:c r="B62" s="74"/>
      <x:c r="C62" s="73" t="str">
        <x:v>Seed evidence map (pre-systematic)</x:v>
      </x:c>
      <x:c r="D62" s="73" t="str">
        <x:v>Targeted cornerstone search / citation chaining; mapped as P061</x:v>
      </x:c>
      <x:c r="E62" s="73" t="str">
        <x:v>S3-CLIP: Video Super Resolution for Person-ReID</x:v>
      </x:c>
      <x:c r="F62" s="73" t="n">
        <x:v>2026</x:v>
      </x:c>
      <x:c r="G62" s="73" t="str">
        <x:v>https://doi.org/10.1109/WACVW68408.2026.00174</x:v>
      </x:c>
      <x:c r="H62" s="73" t="str">
        <x:v>No</x:v>
      </x:c>
      <x:c r="I62" s="91" t="str">
        <x:v>AI pilot: advance</x:v>
      </x:c>
      <x:c r="J62" s="75" t="str">
        <x:v>Pending</x:v>
      </x:c>
      <x:c r="K62" s="75"/>
      <x:c r="L62" s="75" t="str">
        <x:v>2026-09-16 | AI only; human pending. Task-driven super-resolution across surveillance viewpoint/domain shift. Basis: Complete author preprint abstract and official repository. Sources and full-text question: screening/pilot_03.json (P061).</x:v>
      </x:c>
      <x:c r="M62" s="75" t="str">
        <x:v>No</x:v>
      </x:c>
      <x:c r="N62" s="75" t="str">
        <x:v>Yes</x:v>
      </x:c>
    </x:row>
    <x:row r="63" ht="144" customHeight="1">
      <x:c r="A63" s="73" t="str">
        <x:v>S062</x:v>
      </x:c>
      <x:c r="B63" s="74"/>
      <x:c r="C63" s="73" t="str">
        <x:v>Seed evidence map (pre-systematic)</x:v>
      </x:c>
      <x:c r="D63" s="73" t="str">
        <x:v>Targeted cornerstone search / citation chaining; mapped as P062</x:v>
      </x:c>
      <x:c r="E63" s="73" t="str">
        <x:v>How to Trust Your Diffusion Model: A Convex Optimization Approach to Conformal Risk Control</x:v>
      </x:c>
      <x:c r="F63" s="73" t="n">
        <x:v>2023</x:v>
      </x:c>
      <x:c r="G63" s="73" t="str">
        <x:v>https://proceedings.mlr.press/v202/teneggi23a.html</x:v>
      </x:c>
      <x:c r="H63" s="73" t="str">
        <x:v>No</x:v>
      </x:c>
      <x:c r="I63" s="93" t="str">
        <x:v>AI pilot: advance</x:v>
      </x:c>
      <x:c r="J63" s="99" t="str">
        <x:v>AI full-text: include</x:v>
      </x:c>
      <x:c r="K63" s="75" t="str"/>
      <x:c r="L63" s="75" t="str">
        <x:v>2026-09-16 | AI full-text include; human pending. Ground-truth reconstruction risk control; §3.2. Online text inspected; no local PDF saved. Version, read extent and technical extraction: screening/full_text_02.json (P062).</x:v>
      </x:c>
      <x:c r="M63" s="75" t="str">
        <x:v>No</x:v>
      </x:c>
      <x:c r="N63" s="75" t="str">
        <x:v>Yes</x:v>
      </x:c>
    </x:row>
    <x:row r="64" ht="144" customHeight="1">
      <x:c r="A64" s="73" t="str">
        <x:v>S063</x:v>
      </x:c>
      <x:c r="B64" s="74"/>
      <x:c r="C64" s="73" t="str">
        <x:v>Seed evidence map (pre-systematic)</x:v>
      </x:c>
      <x:c r="D64" s="73" t="str">
        <x:v>Targeted cornerstone search / citation chaining; mapped as P063</x:v>
      </x:c>
      <x:c r="E64" s="73" t="str">
        <x:v>Task-Driven Uncertainty Quantification in Inverse Problems via Conformal Prediction</x:v>
      </x:c>
      <x:c r="F64" s="73" t="n">
        <x:v>2024</x:v>
      </x:c>
      <x:c r="G64" s="73" t="str">
        <x:v>https://doi.org/10.1007/978-3-031-73027-6_11</x:v>
      </x:c>
      <x:c r="H64" s="73" t="str">
        <x:v>No</x:v>
      </x:c>
      <x:c r="I64" s="93" t="str">
        <x:v>AI pilot: advance</x:v>
      </x:c>
      <x:c r="J64" s="99" t="str">
        <x:v>AI full-text: include</x:v>
      </x:c>
      <x:c r="K64" s="75" t="str"/>
      <x:c r="L64" s="75" t="str">
        <x:v>2026-09-16 | AI full-text include; human pending. Conformal task uncertainty and acquisition stopping; §§3–4. Online text inspected; no local PDF saved. Version, read extent and technical extraction: screening/full_text_02.json (P063).</x:v>
      </x:c>
      <x:c r="M64" s="75" t="str">
        <x:v>No</x:v>
      </x:c>
      <x:c r="N64" s="75" t="str">
        <x:v>Yes</x:v>
      </x:c>
    </x:row>
    <x:row r="65" ht="144" customHeight="1">
      <x:c r="A65" s="73" t="str">
        <x:v>S064</x:v>
      </x:c>
      <x:c r="B65" s="74"/>
      <x:c r="C65" s="73" t="str">
        <x:v>Seed evidence map (pre-systematic)</x:v>
      </x:c>
      <x:c r="D65" s="73" t="str">
        <x:v>Targeted cornerstone search / citation chaining; mapped as P064</x:v>
      </x:c>
      <x:c r="E65" s="73" t="str">
        <x:v>Learning-Based Approaches for Reconstructions With Inexact Operators in nanoCT Applications</x:v>
      </x:c>
      <x:c r="F65" s="73" t="n">
        <x:v>2024</x:v>
      </x:c>
      <x:c r="G65" s="73" t="str">
        <x:v>https://doi.org/10.1109/TCI.2024.3380319</x:v>
      </x:c>
      <x:c r="H65" s="73" t="str">
        <x:v>No</x:v>
      </x:c>
      <x:c r="I65" s="93" t="str">
        <x:v>AI pilot: advance</x:v>
      </x:c>
      <x:c r="J65" s="95" t="str">
        <x:v>AI full-text: include</x:v>
      </x:c>
      <x:c r="K65" s="75" t="str"/>
      <x:c r="L65" s="75" t="str">
        <x:v>2026-09-16 | AI full-text include; human pending. Inexact geometry, motion and image uncertainty; §§III–IV. Online text inspected; no local PDF saved. Version, read extent and technical extraction: screening/full_text_01.json (P064).</x:v>
      </x:c>
      <x:c r="M65" s="75" t="str">
        <x:v>No</x:v>
      </x:c>
      <x:c r="N65" s="75" t="str">
        <x:v>Yes</x:v>
      </x:c>
    </x:row>
    <x:row r="66" ht="144" customHeight="1">
      <x:c r="A66" s="73" t="str">
        <x:v>S065</x:v>
      </x:c>
      <x:c r="B66" s="74"/>
      <x:c r="C66" s="73" t="str">
        <x:v>Seed evidence map (pre-systematic)</x:v>
      </x:c>
      <x:c r="D66" s="73" t="str">
        <x:v>Targeted cornerstone search / citation chaining; mapped as P065</x:v>
      </x:c>
      <x:c r="E66" s="73" t="str">
        <x:v>Conformalized Generative Bayesian Imaging: An Uncertainty Quantification Framework for Computational Imaging</x:v>
      </x:c>
      <x:c r="F66" s="73" t="n">
        <x:v>2025</x:v>
      </x:c>
      <x:c r="G66" s="73" t="str">
        <x:v>https://doi.org/10.1109/TCI.2025.3649389</x:v>
      </x:c>
      <x:c r="H66" s="73" t="str">
        <x:v>No</x:v>
      </x:c>
      <x:c r="I66" s="93" t="str">
        <x:v>AI pilot: advance</x:v>
      </x:c>
      <x:c r="J66" s="99" t="str">
        <x:v>AI full-text: include</x:v>
      </x:c>
      <x:c r="K66" s="75" t="str"/>
      <x:c r="L66" s="75" t="str">
        <x:v>2026-09-16 | AI full-text include; human pending. Generative uncertainty and conformal calibration; §II. Online text inspected; no local PDF saved. Version, read extent and technical extraction: screening/full_text_02.json (P065).</x:v>
      </x:c>
      <x:c r="M66" s="75" t="str">
        <x:v>No</x:v>
      </x:c>
      <x:c r="N66" s="75" t="str">
        <x:v>Yes</x:v>
      </x:c>
    </x:row>
    <x:row r="67" ht="144" customHeight="1">
      <x:c r="A67" s="73" t="str">
        <x:v>S066</x:v>
      </x:c>
      <x:c r="B67" s="74"/>
      <x:c r="C67" s="73" t="str">
        <x:v>Seed evidence map (pre-systematic)</x:v>
      </x:c>
      <x:c r="D67" s="73" t="str">
        <x:v>Targeted cornerstone search / citation chaining; mapped as P066</x:v>
      </x:c>
      <x:c r="E67" s="73" t="str">
        <x:v>Self-supervised Conformal Prediction for Uncertainty Quantification in Imaging Problems</x:v>
      </x:c>
      <x:c r="F67" s="73" t="n">
        <x:v>2025</x:v>
      </x:c>
      <x:c r="G67" s="73" t="str">
        <x:v>https://doi.org/10.1007/978-3-031-92366-1_9</x:v>
      </x:c>
      <x:c r="H67" s="73" t="str">
        <x:v>No</x:v>
      </x:c>
      <x:c r="I67" s="93" t="str">
        <x:v>AI pilot: advance</x:v>
      </x:c>
      <x:c r="J67" s="95" t="str">
        <x:v>AI full-text: include</x:v>
      </x:c>
      <x:c r="K67" s="75" t="str"/>
      <x:c r="L67" s="75" t="str">
        <x:v>2026-09-16 | AI full-text include; human pending. Self-supervised reconstruction uncertainty calibration; §3. Online text inspected; no local PDF saved. Version, read extent and technical extraction: screening/full_text_01.json (P066).</x:v>
      </x:c>
      <x:c r="M67" s="75" t="str">
        <x:v>No</x:v>
      </x:c>
      <x:c r="N67" s="75" t="str">
        <x:v>Yes</x:v>
      </x:c>
    </x:row>
    <x:row r="68" ht="144" customHeight="1">
      <x:c r="A68" s="73" t="str">
        <x:v>S067</x:v>
      </x:c>
      <x:c r="B68" s="74"/>
      <x:c r="C68" s="73" t="str">
        <x:v>Seed evidence map (pre-systematic)</x:v>
      </x:c>
      <x:c r="D68" s="73" t="str">
        <x:v>Targeted cornerstone search / citation chaining; mapped as P067</x:v>
      </x:c>
      <x:c r="E68" s="73" t="str">
        <x:v>QUTCC: Quantile Uncertainty Training and Conformal Calibration for Imaging Inverse Problems</x:v>
      </x:c>
      <x:c r="F68" s="73" t="n">
        <x:v>2025</x:v>
      </x:c>
      <x:c r="G68" s="73" t="str">
        <x:v>https://arxiv.org/abs/2507.14760</x:v>
      </x:c>
      <x:c r="H68" s="73" t="str">
        <x:v>No</x:v>
      </x:c>
      <x:c r="I68" s="93" t="str">
        <x:v>AI pilot: advance</x:v>
      </x:c>
      <x:c r="J68" s="99" t="str">
        <x:v>AI full-text: include</x:v>
      </x:c>
      <x:c r="K68" s="75" t="str"/>
      <x:c r="L68" s="75" t="str">
        <x:v>2026-09-16 | AI full-text include; human pending. Quantile uncertainty and empirical calibration; §§3–4. Online text inspected; no local PDF saved. Version, read extent and technical extraction: screening/full_text_02.json (P067).</x:v>
      </x:c>
      <x:c r="M68" s="75" t="str">
        <x:v>No</x:v>
      </x:c>
      <x:c r="N68" s="75" t="str">
        <x:v>Yes</x:v>
      </x:c>
    </x:row>
    <x:row r="69" ht="144" customHeight="1">
      <x:c r="A69" s="73" t="str">
        <x:v>S068</x:v>
      </x:c>
      <x:c r="B69" s="74"/>
      <x:c r="C69" s="73" t="str">
        <x:v>Seed evidence map (pre-systematic)</x:v>
      </x:c>
      <x:c r="D69" s="73" t="str">
        <x:v>Targeted cornerstone search / citation chaining; mapped as P068</x:v>
      </x:c>
      <x:c r="E69" s="73" t="str">
        <x:v>Correction Filter for Single Image Super-Resolution</x:v>
      </x:c>
      <x:c r="F69" s="73" t="n">
        <x:v>2020</x:v>
      </x:c>
      <x:c r="G69" s="73" t="str">
        <x:v>https://doi.org/10.1109/CVPR42600.2020.00150</x:v>
      </x:c>
      <x:c r="H69" s="73" t="str">
        <x:v>No</x:v>
      </x:c>
      <x:c r="I69" s="91" t="str">
        <x:v>AI pilot: advance</x:v>
      </x:c>
      <x:c r="J69" s="75" t="str">
        <x:v>Pending</x:v>
      </x:c>
      <x:c r="K69" s="75"/>
      <x:c r="L69" s="75" t="str">
        <x:v>2026-09-16 | AI only; human pending. Correction of degradation mismatch for pretrained super-resolution. Basis: Complete author preprint abstract; shorter seed conference title retained. Sources and full-text question: screening/pilot_03.json (P068).</x:v>
      </x:c>
      <x:c r="M69" s="75" t="str">
        <x:v>No</x:v>
      </x:c>
      <x:c r="N69" s="75" t="str">
        <x:v>Yes</x:v>
      </x:c>
    </x:row>
    <x:row r="70" ht="144" customHeight="1">
      <x:c r="A70" s="73" t="str">
        <x:v>S069</x:v>
      </x:c>
      <x:c r="B70" s="74"/>
      <x:c r="C70" s="73" t="str">
        <x:v>Seed evidence map (pre-systematic)</x:v>
      </x:c>
      <x:c r="D70" s="73" t="str">
        <x:v>Targeted cornerstone search / citation chaining; mapped as P069</x:v>
      </x:c>
      <x:c r="E70" s="73" t="str">
        <x:v>Blind Image Deconvolution Using Deep Generative Priors</x:v>
      </x:c>
      <x:c r="F70" s="73" t="n">
        <x:v>2020</x:v>
      </x:c>
      <x:c r="G70" s="73" t="str">
        <x:v>https://doi.org/10.1109/TCI.2020.3032671</x:v>
      </x:c>
      <x:c r="H70" s="73" t="str">
        <x:v>No</x:v>
      </x:c>
      <x:c r="I70" s="91" t="str">
        <x:v>AI pilot: advance</x:v>
      </x:c>
      <x:c r="J70" s="75" t="str">
        <x:v>Pending</x:v>
      </x:c>
      <x:c r="K70" s="75"/>
      <x:c r="L70" s="75" t="str">
        <x:v>2026-09-16 | AI only; human pending. Joint blind image/kernel recovery using generative priors. Basis: Complete author preprint abstract; existing journal citation retained. Sources and full-text question: screening/pilot_03.json (P069).</x:v>
      </x:c>
      <x:c r="M70" s="75" t="str">
        <x:v>No</x:v>
      </x:c>
      <x:c r="N70" s="75" t="str">
        <x:v>Yes</x:v>
      </x:c>
    </x:row>
    <x:row r="71" ht="144" customHeight="1">
      <x:c r="A71" s="73" t="str">
        <x:v>S070</x:v>
      </x:c>
      <x:c r="B71" s="74"/>
      <x:c r="C71" s="73" t="str">
        <x:v>Seed evidence map (pre-systematic)</x:v>
      </x:c>
      <x:c r="D71" s="73" t="str">
        <x:v>Targeted cornerstone search / citation chaining; mapped as P070</x:v>
      </x:c>
      <x:c r="E71" s="73" t="str">
        <x:v>Grounding Degradations in Natural Language for All-In-One Video Restoration</x:v>
      </x:c>
      <x:c r="F71" s="73" t="n">
        <x:v>2026</x:v>
      </x:c>
      <x:c r="G71" s="73" t="str">
        <x:v>https://arxiv.org/abs/2507.14851</x:v>
      </x:c>
      <x:c r="H71" s="73" t="str">
        <x:v>No</x:v>
      </x:c>
      <x:c r="I71" s="93" t="str">
        <x:v>AI pilot: advance</x:v>
      </x:c>
      <x:c r="J71" s="103" t="str">
        <x:v>AI full-text: include</x:v>
      </x:c>
      <x:c r="K71" s="75" t="str"/>
      <x:c r="L71" s="75" t="str">
        <x:v>2026-09-16 | AI full-text include; human pending. Compound and temporally varying video degradation. Online text inspected; no local PDF saved. Version, read extent and technical extraction: screening/full_text_06.json (P070).</x:v>
      </x:c>
      <x:c r="M71" s="75" t="str">
        <x:v>No</x:v>
      </x:c>
      <x:c r="N71" s="75" t="str">
        <x:v>Yes</x:v>
      </x:c>
    </x:row>
    <x:row r="72" ht="144" customHeight="1">
      <x:c r="A72" s="73" t="str">
        <x:v>S071</x:v>
      </x:c>
      <x:c r="B72" s="74"/>
      <x:c r="C72" s="73" t="str">
        <x:v>Seed evidence map (pre-systematic)</x:v>
      </x:c>
      <x:c r="D72" s="73" t="str">
        <x:v>Targeted cornerstone search / citation chaining; mapped as P071</x:v>
      </x:c>
      <x:c r="E72" s="73" t="str">
        <x:v>All-in-One Image Restoration for Unknown Degradations Using Adaptive Discriminative Filters for Specific Degradations</x:v>
      </x:c>
      <x:c r="F72" s="73" t="n">
        <x:v>2023</x:v>
      </x:c>
      <x:c r="G72" s="73" t="str">
        <x:v>https://openaccess.thecvf.com/content/CVPR2023/html/Park_All-in-One_Image_Restoration_for_Unknown_Degradations_Using_Adaptive_Discriminative_Filters_CVPR_2023_paper.html</x:v>
      </x:c>
      <x:c r="H72" s="73" t="str">
        <x:v>No</x:v>
      </x:c>
      <x:c r="I72" s="91" t="str">
        <x:v>AI pilot: advance</x:v>
      </x:c>
      <x:c r="J72" s="75" t="str">
        <x:v>Pending</x:v>
      </x:c>
      <x:c r="K72" s="75"/>
      <x:c r="L72" s="75" t="str">
        <x:v>2026-09-16 | AI only; human pending. Title explicitly identifies restoration with unknown degradations. Basis: Specific official proceedings title located; CVF HTML/PDF access failed; complete abstract unavailable. Sources and full-text question: screening/pilot_03.json (P071).</x:v>
      </x:c>
      <x:c r="M72" s="75" t="str">
        <x:v>No</x:v>
      </x:c>
      <x:c r="N72" s="75" t="str">
        <x:v>Yes</x:v>
      </x:c>
    </x:row>
    <x:row r="73" ht="144" customHeight="1">
      <x:c r="A73" s="73" t="str">
        <x:v>S072</x:v>
      </x:c>
      <x:c r="B73" s="74"/>
      <x:c r="C73" s="73" t="str">
        <x:v>Seed evidence map (pre-systematic)</x:v>
      </x:c>
      <x:c r="D73" s="73" t="str">
        <x:v>Targeted cornerstone search / citation chaining; mapped as P072</x:v>
      </x:c>
      <x:c r="E73" s="73" t="str">
        <x:v>PromptRestorer: A Prompting Image Restoration Method with Degradation Perception</x:v>
      </x:c>
      <x:c r="F73" s="73" t="n">
        <x:v>2023</x:v>
      </x:c>
      <x:c r="G73" s="73" t="str">
        <x:v>https://proceedings.neurips.cc/paper_files/paper/2023/file/1c364d98a5cdc426fd8c76fbb2c10e34-Paper-Conference.pdf</x:v>
      </x:c>
      <x:c r="H73" s="73" t="str">
        <x:v>No</x:v>
      </x:c>
      <x:c r="I73" s="94" t="str">
        <x:v>AI pilot: unclear</x:v>
      </x:c>
      <x:c r="J73" s="95" t="str">
        <x:v>AI full-text: include</x:v>
      </x:c>
      <x:c r="K73" s="75" t="str"/>
      <x:c r="L73" s="75" t="str">
        <x:v>2026-09-16 | AI full-text include; human pending. Explicit cross-dataset deblurring transfer; §4.1, Table 2. Online text inspected; no local PDF saved. Version, read extent and technical extraction: screening/full_text_01.json (P072).</x:v>
      </x:c>
      <x:c r="M73" s="75" t="str">
        <x:v>No</x:v>
      </x:c>
      <x:c r="N73" s="75" t="str">
        <x:v>Yes</x:v>
      </x:c>
    </x:row>
    <x:row r="74" ht="144" customHeight="1">
      <x:c r="A74" s="73" t="str">
        <x:v>S073</x:v>
      </x:c>
      <x:c r="B74" s="74"/>
      <x:c r="C74" s="73" t="str">
        <x:v>Seed evidence map (pre-systematic)</x:v>
      </x:c>
      <x:c r="D74" s="73" t="str">
        <x:v>Targeted cornerstone search / citation chaining; mapped as P073</x:v>
      </x:c>
      <x:c r="E74" s="73" t="str">
        <x:v>AutoDIR: Automatic All-in-One Image Restoration with Latent Diffusion</x:v>
      </x:c>
      <x:c r="F74" s="73" t="n">
        <x:v>2024</x:v>
      </x:c>
      <x:c r="G74" s="73" t="str">
        <x:v>https://doi.org/10.1007/978-3-031-73661-2_19</x:v>
      </x:c>
      <x:c r="H74" s="73" t="str">
        <x:v>No</x:v>
      </x:c>
      <x:c r="I74" s="91" t="str">
        <x:v>AI pilot: advance</x:v>
      </x:c>
      <x:c r="J74" s="75" t="str">
        <x:v>Pending</x:v>
      </x:c>
      <x:c r="K74" s="75"/>
      <x:c r="L74" s="75" t="str">
        <x:v>2026-09-16 | AI only; human pending. Automatic unknown-degradation detection and all-in-one restoration. Basis: Complete author preprint abstract and existing ECCV lineage. Sources and full-text question: screening/pilot_03.json (P073).</x:v>
      </x:c>
      <x:c r="M74" s="75" t="str">
        <x:v>No</x:v>
      </x:c>
      <x:c r="N74" s="75" t="str">
        <x:v>Yes</x:v>
      </x:c>
    </x:row>
    <x:row r="75" ht="144" customHeight="1">
      <x:c r="A75" s="73" t="str">
        <x:v>S074</x:v>
      </x:c>
      <x:c r="B75" s="74"/>
      <x:c r="C75" s="73" t="str">
        <x:v>Seed evidence map (pre-systematic)</x:v>
      </x:c>
      <x:c r="D75" s="73" t="str">
        <x:v>Targeted cornerstone search / citation chaining; mapped as P074</x:v>
      </x:c>
      <x:c r="E75" s="73" t="str">
        <x:v>Controlling Vision-Language Models for Multi-Task Image Restoration</x:v>
      </x:c>
      <x:c r="F75" s="73" t="n">
        <x:v>2024</x:v>
      </x:c>
      <x:c r="G75" s="73" t="str">
        <x:v>https://openreview.net/forum?id=t3vnnLeajU</x:v>
      </x:c>
      <x:c r="H75" s="73" t="str">
        <x:v>No</x:v>
      </x:c>
      <x:c r="I75" s="93" t="str">
        <x:v>AI pilot: advance</x:v>
      </x:c>
      <x:c r="J75" s="102" t="str">
        <x:v>AI full-text: include</x:v>
      </x:c>
      <x:c r="K75" s="75" t="str"/>
      <x:c r="L75" s="75" t="str">
        <x:v>2026-09-16 | AI full-text include; human pending. Unknown-degradation embeddings and OOD example; §§3 and 5.2. Online text inspected; no local PDF saved. Version, read extent and technical extraction: screening/full_text_05.json (P074).</x:v>
      </x:c>
      <x:c r="M75" s="75" t="str">
        <x:v>No</x:v>
      </x:c>
      <x:c r="N75" s="75" t="str">
        <x:v>Yes</x:v>
      </x:c>
    </x:row>
    <x:row r="76" ht="144" customHeight="1">
      <x:c r="A76" s="73" t="str">
        <x:v>S075</x:v>
      </x:c>
      <x:c r="B76" s="74"/>
      <x:c r="C76" s="73" t="str">
        <x:v>Seed evidence map (pre-systematic)</x:v>
      </x:c>
      <x:c r="D76" s="73" t="str">
        <x:v>Targeted cornerstone search / citation chaining; mapped as P075</x:v>
      </x:c>
      <x:c r="E76" s="73" t="str">
        <x:v>Multimodal Prompt Perceiver: Empower Adaptiveness, Generalizability and Fidelity for All-in-One Image Restoration</x:v>
      </x:c>
      <x:c r="F76" s="73" t="n">
        <x:v>2024</x:v>
      </x:c>
      <x:c r="G76" s="73" t="str">
        <x:v>https://doi.org/10.1109/CVPR52733.2024.02403</x:v>
      </x:c>
      <x:c r="H76" s="73" t="str">
        <x:v>No</x:v>
      </x:c>
      <x:c r="I76" s="93" t="str">
        <x:v>AI pilot: advance</x:v>
      </x:c>
      <x:c r="J76" s="102" t="str">
        <x:v>AI full-text: include</x:v>
      </x:c>
      <x:c r="K76" s="75" t="str"/>
      <x:c r="L76" s="75" t="str">
        <x:v>2026-09-16 | AI full-text include; human pending. Compound and unseen restoration tasks; §4.1. Online text inspected; no local PDF saved. Version, read extent and technical extraction: screening/full_text_05.json (P075).</x:v>
      </x:c>
      <x:c r="M76" s="75" t="str">
        <x:v>No</x:v>
      </x:c>
      <x:c r="N76" s="75" t="str">
        <x:v>Yes</x:v>
      </x:c>
    </x:row>
    <x:row r="77" ht="144" customHeight="1">
      <x:c r="A77" s="73" t="str">
        <x:v>S076</x:v>
      </x:c>
      <x:c r="B77" s="74"/>
      <x:c r="C77" s="73" t="str">
        <x:v>Seed evidence map (pre-systematic)</x:v>
      </x:c>
      <x:c r="D77" s="73" t="str">
        <x:v>Targeted cornerstone search / citation chaining; mapped as P076</x:v>
      </x:c>
      <x:c r="E77" s="73" t="str">
        <x:v>InstructIR: High-Quality Image Restoration Following Human Instructions</x:v>
      </x:c>
      <x:c r="F77" s="73" t="n">
        <x:v>2024</x:v>
      </x:c>
      <x:c r="G77" s="73" t="str">
        <x:v>https://arxiv.org/abs/2401.16468</x:v>
      </x:c>
      <x:c r="H77" s="73" t="str">
        <x:v>No</x:v>
      </x:c>
      <x:c r="I77" s="93" t="str">
        <x:v>AI pilot: advance</x:v>
      </x:c>
      <x:c r="J77" s="102" t="str">
        <x:v>AI full-text: include</x:v>
      </x:c>
      <x:c r="K77" s="75" t="str"/>
      <x:c r="L77" s="75" t="str">
        <x:v>2026-09-16 | AI full-text include; human pending. Unknown and compound corruption examples; §5. Online text inspected; no local PDF saved. Version, read extent and technical extraction: screening/full_text_05.json (P076).</x:v>
      </x:c>
      <x:c r="M77" s="75" t="str">
        <x:v>No</x:v>
      </x:c>
      <x:c r="N77" s="75" t="str">
        <x:v>Yes</x:v>
      </x:c>
    </x:row>
    <x:row r="78" ht="144" customHeight="1">
      <x:c r="A78" s="73" t="str">
        <x:v>S077</x:v>
      </x:c>
      <x:c r="B78" s="74"/>
      <x:c r="C78" s="73" t="str">
        <x:v>Seed evidence map (pre-systematic)</x:v>
      </x:c>
      <x:c r="D78" s="73" t="str">
        <x:v>Targeted cornerstone search / citation chaining; mapped as P077</x:v>
      </x:c>
      <x:c r="E78" s="73" t="str">
        <x:v>RestoreAgent: Autonomous Image Restoration Agent via Multimodal Large Language Models</x:v>
      </x:c>
      <x:c r="F78" s="73" t="n">
        <x:v>2024</x:v>
      </x:c>
      <x:c r="G78" s="73" t="str">
        <x:v>https://proceedings.neurips.cc/paper_files/paper/2024/file/c78f639424b8d89ceb4f2efbb4dfe4f4-Paper-Conference.pdf</x:v>
      </x:c>
      <x:c r="H78" s="73" t="str">
        <x:v>No</x:v>
      </x:c>
      <x:c r="I78" s="93" t="str">
        <x:v>AI pilot: advance</x:v>
      </x:c>
      <x:c r="J78" s="103" t="str">
        <x:v>AI full-text: include</x:v>
      </x:c>
      <x:c r="K78" s="75" t="str"/>
      <x:c r="L78" s="75" t="str">
        <x:v>2026-09-16 | AI full-text include; human pending. Unknown compound degradation and restoration rollback. Online text inspected; no local PDF saved. Version, read extent and technical extraction: screening/full_text_06.json (P077).</x:v>
      </x:c>
      <x:c r="M78" s="75" t="str">
        <x:v>No</x:v>
      </x:c>
      <x:c r="N78" s="75" t="str">
        <x:v>Yes</x:v>
      </x:c>
    </x:row>
    <x:row r="79" ht="144" customHeight="1">
      <x:c r="A79" s="73" t="str">
        <x:v>S078</x:v>
      </x:c>
      <x:c r="B79" s="74"/>
      <x:c r="C79" s="73" t="str">
        <x:v>Seed evidence map (pre-systematic)</x:v>
      </x:c>
      <x:c r="D79" s="73" t="str">
        <x:v>Targeted cornerstone search / citation chaining; mapped as P078</x:v>
      </x:c>
      <x:c r="E79" s="73" t="str">
        <x:v>DreamClear: High-Capacity Real-World Image Restoration with Privacy-Safe Dataset Curation</x:v>
      </x:c>
      <x:c r="F79" s="73" t="n">
        <x:v>2024</x:v>
      </x:c>
      <x:c r="G79" s="73" t="str">
        <x:v>https://proceedings.neurips.cc/paper_files/paper/2024/file/6452474601429509f3035dc81c233226-Paper-Conference.pdf</x:v>
      </x:c>
      <x:c r="H79" s="73" t="str">
        <x:v>No</x:v>
      </x:c>
      <x:c r="I79" s="93" t="str">
        <x:v>AI pilot: advance</x:v>
      </x:c>
      <x:c r="J79" s="103" t="str">
        <x:v>AI full-text: include</x:v>
      </x:c>
      <x:c r="K79" s="75" t="str"/>
      <x:c r="L79" s="75" t="str">
        <x:v>2026-09-16 | AI full-text include; human pending. Compound restoration with real-image and semantic evaluation. Online text inspected; no local PDF saved. Version, read extent and technical extraction: screening/full_text_06.json (P078).</x:v>
      </x:c>
      <x:c r="M79" s="75" t="str">
        <x:v>No</x:v>
      </x:c>
      <x:c r="N79" s="75" t="str">
        <x:v>Yes</x:v>
      </x:c>
    </x:row>
    <x:row r="80" ht="144" customHeight="1">
      <x:c r="A80" s="73" t="str">
        <x:v>S079</x:v>
      </x:c>
      <x:c r="B80" s="74"/>
      <x:c r="C80" s="73" t="str">
        <x:v>Seed evidence map (pre-systematic)</x:v>
      </x:c>
      <x:c r="D80" s="73" t="str">
        <x:v>Targeted cornerstone search / citation chaining; mapped as P079</x:v>
      </x:c>
      <x:c r="E80" s="73" t="str">
        <x:v>Taming Generative Diffusion Prior for Universal Blind Image Restoration</x:v>
      </x:c>
      <x:c r="F80" s="73" t="n">
        <x:v>2024</x:v>
      </x:c>
      <x:c r="G80" s="73" t="str">
        <x:v>https://proceedings.neurips.cc/paper_files/paper/2024/hash/25869dbf7682272357bc2cbbf860e1c8-Abstract-Conference.html</x:v>
      </x:c>
      <x:c r="H80" s="73" t="str">
        <x:v>No</x:v>
      </x:c>
      <x:c r="I80" s="93" t="str">
        <x:v>AI pilot: advance</x:v>
      </x:c>
      <x:c r="J80" s="102" t="str">
        <x:v>AI full-text: include</x:v>
      </x:c>
      <x:c r="K80" s="75" t="str"/>
      <x:c r="L80" s="75" t="str">
        <x:v>2026-09-16 | AI full-text include; human pending. Joint unknown degradation estimation; §§4.1–4.3. Online text inspected; no local PDF saved. Version, read extent and technical extraction: screening/full_text_05.json (P079).</x:v>
      </x:c>
      <x:c r="M80" s="75" t="str">
        <x:v>No</x:v>
      </x:c>
      <x:c r="N80" s="75" t="str">
        <x:v>Yes</x:v>
      </x:c>
    </x:row>
    <x:row r="81" ht="144" customHeight="1">
      <x:c r="A81" s="73" t="str">
        <x:v>S080</x:v>
      </x:c>
      <x:c r="B81" s="74"/>
      <x:c r="C81" s="73" t="str">
        <x:v>Seed evidence map (pre-systematic)</x:v>
      </x:c>
      <x:c r="D81" s="73" t="str">
        <x:v>Targeted cornerstone search / citation chaining; mapped as P080</x:v>
      </x:c>
      <x:c r="E81" s="73" t="str">
        <x:v>Generative Diffusion Prior for Unified Image Restoration and Enhancement</x:v>
      </x:c>
      <x:c r="F81" s="73" t="n">
        <x:v>2023</x:v>
      </x:c>
      <x:c r="G81" s="73" t="str">
        <x:v>https://openaccess.thecvf.com/content/CVPR2023/html/Fei_Generative_Diffusion_Prior_for_Unified_Image_Restoration_and_Enhancement_CVPR_2023_paper.html</x:v>
      </x:c>
      <x:c r="H81" s="73" t="str">
        <x:v>No</x:v>
      </x:c>
      <x:c r="I81" s="93" t="str">
        <x:v>AI pilot: advance</x:v>
      </x:c>
      <x:c r="J81" s="101" t="str">
        <x:v>AI full-text: include</x:v>
      </x:c>
      <x:c r="K81" s="75" t="str"/>
      <x:c r="L81" s="75" t="str">
        <x:v>2026-09-16 | AI full-text include; human pending. Unknown degradation parameters optimized during reconstruction; §4.1. Online text inspected; no local PDF saved. Version, read extent and technical extraction: screening/full_text_04.json (P080).</x:v>
      </x:c>
      <x:c r="M81" s="75" t="str">
        <x:v>No</x:v>
      </x:c>
      <x:c r="N81" s="75" t="str">
        <x:v>Yes</x:v>
      </x:c>
    </x:row>
    <x:row r="82" ht="144" customHeight="1">
      <x:c r="A82" s="73" t="str">
        <x:v>S081</x:v>
      </x:c>
      <x:c r="B82" s="74"/>
      <x:c r="C82" s="73" t="str">
        <x:v>Seed evidence map (pre-systematic)</x:v>
      </x:c>
      <x:c r="D82" s="73" t="str">
        <x:v>Targeted cornerstone search / citation chaining; mapped as P081</x:v>
      </x:c>
      <x:c r="E82" s="73" t="str">
        <x:v>A Modular Conditional Diffusion Framework for Image Reconstruction</x:v>
      </x:c>
      <x:c r="F82" s="73" t="n">
        <x:v>2024</x:v>
      </x:c>
      <x:c r="G82" s="73" t="str">
        <x:v>https://proceedings.neurips.cc/paper_files/paper/2024/hash/b213d9a999b82cb6fcd03a0d5a7498be-Abstract-Conference.html</x:v>
      </x:c>
      <x:c r="H82" s="73" t="str">
        <x:v>No</x:v>
      </x:c>
      <x:c r="I82" s="93" t="str">
        <x:v>AI pilot: advance</x:v>
      </x:c>
      <x:c r="J82" s="102" t="str">
        <x:v>AI full-text: include</x:v>
      </x:c>
      <x:c r="K82" s="75" t="str"/>
      <x:c r="L82" s="75" t="str">
        <x:v>2026-09-16 | AI full-text include; human pending. Conditional image sampling and cross-dataset evaluation; §§3–4. Online text inspected; no local PDF saved. Version, read extent and technical extraction: screening/full_text_05.json (P081).</x:v>
      </x:c>
      <x:c r="M82" s="75" t="str">
        <x:v>No</x:v>
      </x:c>
      <x:c r="N82" s="75" t="str">
        <x:v>Yes</x:v>
      </x:c>
    </x:row>
    <x:row r="83" ht="144" customHeight="1">
      <x:c r="A83" s="73" t="str">
        <x:v>S082</x:v>
      </x:c>
      <x:c r="B83" s="74"/>
      <x:c r="C83" s="73" t="str">
        <x:v>Seed evidence map (pre-systematic)</x:v>
      </x:c>
      <x:c r="D83" s="73" t="str">
        <x:v>Targeted cornerstone search / citation chaining; mapped as P082</x:v>
      </x:c>
      <x:c r="E83" s="73" t="str">
        <x:v>Solving Inverse Problems via Diffusion Optimal Control</x:v>
      </x:c>
      <x:c r="F83" s="73" t="n">
        <x:v>2024</x:v>
      </x:c>
      <x:c r="G83" s="73" t="str">
        <x:v>https://proceedings.neurips.cc/paper_files/paper/2024/hash/86655bc516148e311bcfcf88f1744de7-Abstract-Conference.html</x:v>
      </x:c>
      <x:c r="H83" s="73" t="str">
        <x:v>No</x:v>
      </x:c>
      <x:c r="I83" s="94" t="str">
        <x:v>AI pilot: unclear</x:v>
      </x:c>
      <x:c r="J83" s="95" t="str">
        <x:v>AI full-text: include</x:v>
      </x:c>
      <x:c r="K83" s="75" t="str"/>
      <x:c r="L83" s="75" t="str">
        <x:v>2026-09-16 | AI full-text include; human pending. Reconstruction posterior sampling and explicit prior-approximation robustness; §4, Figure 6. Online text inspected; no local PDF saved. Version, read extent and technical extraction: screening/full_text_01.json (P082).</x:v>
      </x:c>
      <x:c r="M83" s="75" t="str">
        <x:v>No</x:v>
      </x:c>
      <x:c r="N83" s="75" t="str">
        <x:v>Yes</x:v>
      </x:c>
    </x:row>
    <x:row r="84" ht="144" customHeight="1">
      <x:c r="A84" s="73" t="str">
        <x:v>S083</x:v>
      </x:c>
      <x:c r="B84" s="74"/>
      <x:c r="C84" s="73" t="str">
        <x:v>Seed evidence map (pre-systematic)</x:v>
      </x:c>
      <x:c r="D84" s="73" t="str">
        <x:v>Targeted cornerstone search / citation chaining; mapped as P083</x:v>
      </x:c>
      <x:c r="E84" s="73" t="str">
        <x:v>Provably Robust Score-Based Diffusion Posterior Sampling for Plug-and-Play Image Reconstruction</x:v>
      </x:c>
      <x:c r="F84" s="73" t="n">
        <x:v>2024</x:v>
      </x:c>
      <x:c r="G84" s="73" t="str">
        <x:v>https://proceedings.neurips.cc/paper_files/paper/2024/hash/3fa2d2b637122007845a2fbb7c21453b-Abstract-Conference.html</x:v>
      </x:c>
      <x:c r="H84" s="73" t="str">
        <x:v>No</x:v>
      </x:c>
      <x:c r="I84" s="93" t="str">
        <x:v>AI pilot: advance</x:v>
      </x:c>
      <x:c r="J84" s="102" t="str">
        <x:v>AI full-text: include</x:v>
      </x:c>
      <x:c r="K84" s="75" t="str"/>
      <x:c r="L84" s="75" t="str">
        <x:v>2026-09-16 | AI full-text include; human pending. Reconstruction uncertainty and robustness to sampler errors; §4. Online text inspected; no local PDF saved. Version, read extent and technical extraction: screening/full_text_05.json (P083).</x:v>
      </x:c>
      <x:c r="M84" s="75" t="str">
        <x:v>No</x:v>
      </x:c>
      <x:c r="N84" s="75" t="str">
        <x:v>Yes</x:v>
      </x:c>
    </x:row>
    <x:row r="85" ht="144" customHeight="1">
      <x:c r="A85" s="73" t="str">
        <x:v>S084</x:v>
      </x:c>
      <x:c r="B85" s="74"/>
      <x:c r="C85" s="73" t="str">
        <x:v>Seed evidence map (pre-systematic)</x:v>
      </x:c>
      <x:c r="D85" s="73" t="str">
        <x:v>Targeted cornerstone search / citation chaining; mapped as P084</x:v>
      </x:c>
      <x:c r="E85" s="73" t="str">
        <x:v>Unleashing the Denoising Capability of Diffusion Prior for Solving Inverse Problems</x:v>
      </x:c>
      <x:c r="F85" s="73" t="n">
        <x:v>2024</x:v>
      </x:c>
      <x:c r="G85" s="73" t="str">
        <x:v>https://proceedings.neurips.cc/paper_files/paper/2024/hash/54fa8255cdf30736ecad38e842725e7f-Abstract-Conference.html</x:v>
      </x:c>
      <x:c r="H85" s="73" t="str">
        <x:v>No</x:v>
      </x:c>
      <x:c r="I85" s="94" t="str">
        <x:v>AI pilot: unclear</x:v>
      </x:c>
      <x:c r="J85" s="95" t="str">
        <x:v>AI full-text: include</x:v>
      </x:c>
      <x:c r="K85" s="75" t="str"/>
      <x:c r="L85" s="75" t="str">
        <x:v>2026-09-16 | AI full-text include; human pending. Assumed noise-level perturbation; Appendix C.2, Table 14. Online text inspected; no local PDF saved. Version, read extent and technical extraction: screening/full_text_01.json (P084).</x:v>
      </x:c>
      <x:c r="M85" s="75" t="str">
        <x:v>No</x:v>
      </x:c>
      <x:c r="N85" s="75" t="str">
        <x:v>Yes</x:v>
      </x:c>
    </x:row>
    <x:row r="86" ht="144" customHeight="1">
      <x:c r="A86" s="73" t="str">
        <x:v>S085</x:v>
      </x:c>
      <x:c r="B86" s="74"/>
      <x:c r="C86" s="73" t="str">
        <x:v>Seed evidence map (pre-systematic)</x:v>
      </x:c>
      <x:c r="D86" s="73" t="str">
        <x:v>Targeted cornerstone search / citation chaining; mapped as P085</x:v>
      </x:c>
      <x:c r="E86" s="73" t="str">
        <x:v>InvFusion: Bridging Supervised and Zero-shot Diffusion for Inverse Problems</x:v>
      </x:c>
      <x:c r="F86" s="73" t="n">
        <x:v>2025</x:v>
      </x:c>
      <x:c r="G86" s="73" t="str">
        <x:v>https://proceedings.neurips.cc/paper_files/paper/2025/hash/33367b9ff199d26280db6cf539d1125c-Abstract-Conference.html</x:v>
      </x:c>
      <x:c r="H86" s="73" t="str">
        <x:v>No</x:v>
      </x:c>
      <x:c r="I86" s="93" t="str">
        <x:v>AI pilot: advance</x:v>
      </x:c>
      <x:c r="J86" s="102" t="str">
        <x:v>AI full-text: include</x:v>
      </x:c>
      <x:c r="K86" s="75" t="str"/>
      <x:c r="L86" s="75" t="str">
        <x:v>2026-09-16 | AI full-text include; human pending. Unseen degradation and posterior uncertainty; §§4.1 and 5. Online text inspected; no local PDF saved. Version, read extent and technical extraction: screening/full_text_05.json (P085).</x:v>
      </x:c>
      <x:c r="M86" s="75" t="str">
        <x:v>No</x:v>
      </x:c>
      <x:c r="N86" s="75" t="str">
        <x:v>Yes</x:v>
      </x:c>
    </x:row>
    <x:row r="87" ht="144" customHeight="1">
      <x:c r="A87" s="73" t="str">
        <x:v>S086</x:v>
      </x:c>
      <x:c r="B87" s="74"/>
      <x:c r="C87" s="73" t="str">
        <x:v>Seed evidence map (pre-systematic)</x:v>
      </x:c>
      <x:c r="D87" s="73" t="str">
        <x:v>Targeted cornerstone search / citation chaining; mapped as P086</x:v>
      </x:c>
      <x:c r="E87" s="73" t="str">
        <x:v>Solving Inverse Problems with FLAIR</x:v>
      </x:c>
      <x:c r="F87" s="73" t="n">
        <x:v>2025</x:v>
      </x:c>
      <x:c r="G87" s="73" t="str">
        <x:v>https://proceedings.neurips.cc/paper_files/paper/2025/hash/c7ae6e9659f0c99582c2e8214ba0b413-Abstract-Conference.html</x:v>
      </x:c>
      <x:c r="H87" s="73" t="str">
        <x:v>No</x:v>
      </x:c>
      <x:c r="I87" s="94" t="str">
        <x:v>AI pilot: unclear</x:v>
      </x:c>
      <x:c r="J87" s="95" t="str">
        <x:v>AI full-text: include</x:v>
      </x:c>
      <x:c r="K87" s="75" t="str"/>
      <x:c r="L87" s="75" t="str">
        <x:v>2026-09-16 | AI full-text include; human pending. Reconstruction variance, fidelity ablation and failure cases; §5.2–5.3, Appendix A.10. Online text inspected; no local PDF saved. Version, read extent and technical extraction: screening/full_text_01.json (P086).</x:v>
      </x:c>
      <x:c r="M87" s="75" t="str">
        <x:v>No</x:v>
      </x:c>
      <x:c r="N87" s="75" t="str">
        <x:v>Yes</x:v>
      </x:c>
    </x:row>
    <x:row r="88" ht="144" customHeight="1">
      <x:c r="A88" s="73" t="str">
        <x:v>S087</x:v>
      </x:c>
      <x:c r="B88" s="74"/>
      <x:c r="C88" s="73" t="str">
        <x:v>Seed evidence map (pre-systematic)</x:v>
      </x:c>
      <x:c r="D88" s="73" t="str">
        <x:v>Targeted cornerstone search / citation chaining; mapped as P087</x:v>
      </x:c>
      <x:c r="E88" s="73" t="str">
        <x:v>Linearly Constrained Diffusion Implicit Models</x:v>
      </x:c>
      <x:c r="F88" s="73" t="n">
        <x:v>2025</x:v>
      </x:c>
      <x:c r="G88" s="73" t="str">
        <x:v>https://proceedings.neurips.cc/paper_files/paper/2025/hash/d92d3aec6a48e93f93194503ee49f11a-Abstract-Conference.html</x:v>
      </x:c>
      <x:c r="H88" s="73" t="str">
        <x:v>No</x:v>
      </x:c>
      <x:c r="I88" s="94" t="str">
        <x:v>AI pilot: unclear</x:v>
      </x:c>
      <x:c r="J88" s="95" t="str">
        <x:v>AI full-text: include</x:v>
      </x:c>
      <x:c r="K88" s="75" t="str"/>
      <x:c r="L88" s="75" t="str">
        <x:v>2026-09-16 | AI full-text include; human pending. Explicit measurement-support assessment; §5.2, Figure 7; imprecise non-Gaussian application in §5.4. Online text inspected; no local PDF saved. Version, read extent and technical extraction: screening/full_text_01.json (P087).</x:v>
      </x:c>
      <x:c r="M88" s="75" t="str">
        <x:v>No</x:v>
      </x:c>
      <x:c r="N88" s="75" t="str">
        <x:v>Yes</x:v>
      </x:c>
    </x:row>
    <x:row r="89" ht="144" customHeight="1">
      <x:c r="A89" s="73" t="str">
        <x:v>S088</x:v>
      </x:c>
      <x:c r="B89" s="74"/>
      <x:c r="C89" s="73" t="str">
        <x:v>Seed evidence map (pre-systematic)</x:v>
      </x:c>
      <x:c r="D89" s="73" t="str">
        <x:v>Targeted cornerstone search / citation chaining; mapped as P088</x:v>
      </x:c>
      <x:c r="E89" s="73" t="str">
        <x:v>Exploiting Diffusion Prior for Real-World Image Super-Resolution</x:v>
      </x:c>
      <x:c r="F89" s="73" t="n">
        <x:v>2024</x:v>
      </x:c>
      <x:c r="G89" s="73" t="str">
        <x:v>https://doi.org/10.1007/s11263-024-02168-7</x:v>
      </x:c>
      <x:c r="H89" s="73" t="str">
        <x:v>No</x:v>
      </x:c>
      <x:c r="I89" s="91" t="str">
        <x:v>AI pilot: advance</x:v>
      </x:c>
      <x:c r="J89" s="75" t="str">
        <x:v>Pending</x:v>
      </x:c>
      <x:c r="K89" s="75"/>
      <x:c r="L89" s="75" t="str">
        <x:v>2026-09-16 | AI only; human pending. Blind real-world super-resolution and fidelity/perception control. Basis: Complete publisher/author abstracts and publisher DOI metadata. Sources and full-text question: screening/pilot_03.json (P088).</x:v>
      </x:c>
      <x:c r="M89" s="75" t="str">
        <x:v>No</x:v>
      </x:c>
      <x:c r="N89" s="75" t="str">
        <x:v>Yes</x:v>
      </x:c>
    </x:row>
    <x:row r="90" ht="144" customHeight="1">
      <x:c r="A90" s="73" t="str">
        <x:v>S089</x:v>
      </x:c>
      <x:c r="B90" s="74"/>
      <x:c r="C90" s="73" t="str">
        <x:v>Seed evidence map (pre-systematic)</x:v>
      </x:c>
      <x:c r="D90" s="73" t="str">
        <x:v>Targeted cornerstone search / citation chaining; mapped as P089</x:v>
      </x:c>
      <x:c r="E90" s="73" t="str">
        <x:v>SeeSR: Towards Semantics-Aware Real-World Image Super-Resolution</x:v>
      </x:c>
      <x:c r="F90" s="73" t="n">
        <x:v>2024</x:v>
      </x:c>
      <x:c r="G90" s="73" t="str">
        <x:v>https://openaccess.thecvf.com/content/CVPR2024/html/Wu_SeeSR_Towards_Semantics-Aware_Real-World_Image_Super-Resolution_CVPR_2024_paper.html</x:v>
      </x:c>
      <x:c r="H90" s="73" t="str">
        <x:v>No</x:v>
      </x:c>
      <x:c r="I90" s="93" t="str">
        <x:v>AI pilot: advance</x:v>
      </x:c>
      <x:c r="J90" s="103" t="str">
        <x:v>AI full-text: include</x:v>
      </x:c>
      <x:c r="K90" s="75" t="str"/>
      <x:c r="L90" s="75" t="str">
        <x:v>2026-09-16 | AI full-text include; human pending. Blind compound restoration and false-detail analysis. Online text inspected; no local PDF saved. Version, read extent and technical extraction: screening/full_text_06.json (P089).</x:v>
      </x:c>
      <x:c r="M90" s="75" t="str">
        <x:v>No</x:v>
      </x:c>
      <x:c r="N90" s="75" t="str">
        <x:v>Yes</x:v>
      </x:c>
    </x:row>
    <x:row r="91" ht="144" customHeight="1">
      <x:c r="A91" s="73" t="str">
        <x:v>S090</x:v>
      </x:c>
      <x:c r="B91" s="74"/>
      <x:c r="C91" s="73" t="str">
        <x:v>Seed evidence map (pre-systematic)</x:v>
      </x:c>
      <x:c r="D91" s="73" t="str">
        <x:v>Targeted cornerstone search / citation chaining; mapped as P090</x:v>
      </x:c>
      <x:c r="E91" s="73" t="str">
        <x:v>Upscale-A-Video: Temporal-Consistent Diffusion Model for Real-World Video Super-Resolution</x:v>
      </x:c>
      <x:c r="F91" s="73" t="n">
        <x:v>2024</x:v>
      </x:c>
      <x:c r="G91" s="73" t="str">
        <x:v>https://openaccess.thecvf.com/content/CVPR2024/html/Zhou_Upscale-A-Video_Temporal-Consistent_Diffusion_Model_for_Real-World_Video_Super-Resolution_CVPR_2024_paper.html</x:v>
      </x:c>
      <x:c r="H91" s="73" t="str">
        <x:v>No</x:v>
      </x:c>
      <x:c r="I91" s="91" t="str">
        <x:v>AI pilot: advance</x:v>
      </x:c>
      <x:c r="J91" s="75" t="str">
        <x:v>Pending</x:v>
      </x:c>
      <x:c r="K91" s="75"/>
      <x:c r="L91" s="75" t="str">
        <x:v>2026-09-16 | AI only; human pending. Blind generative real-world video restoration and temporal fidelity. Basis: Complete author preprint abstract and official project locator. Sources and full-text question: screening/pilot_03.json (P090).</x:v>
      </x:c>
      <x:c r="M91" s="75" t="str">
        <x:v>No</x:v>
      </x:c>
      <x:c r="N91" s="75" t="str">
        <x:v>Yes</x:v>
      </x:c>
    </x:row>
    <x:row r="92">
      <x:c r="A92" s="1" t="str">
        <x:v>S091</x:v>
      </x:c>
      <x:c r="B92" s="39"/>
      <x:c r="C92" s="1" t="str"/>
      <x:c r="D92" s="1" t="str"/>
      <x:c r="E92" s="1" t="str"/>
      <x:c r="F92" s="1" t="str"/>
      <x:c r="G92" s="1" t="str"/>
      <x:c r="H92" s="1" t="str">
        <x:v>No</x:v>
      </x:c>
      <x:c r="I92" s="1" t="str">
        <x:v>Pending</x:v>
      </x:c>
      <x:c r="J92" s="1" t="str">
        <x:v>Pending</x:v>
      </x:c>
      <x:c r="K92" s="1" t="str"/>
      <x:c r="L92" s="1" t="str"/>
      <x:c r="M92" s="1" t="str">
        <x:v>No</x:v>
      </x:c>
      <x:c r="N92" s="1" t="str">
        <x:v>No</x:v>
      </x:c>
    </x:row>
    <x:row r="93">
      <x:c r="A93" s="1" t="str">
        <x:v>S092</x:v>
      </x:c>
      <x:c r="B93" s="39"/>
      <x:c r="C93" s="1" t="str"/>
      <x:c r="D93" s="1" t="str"/>
      <x:c r="E93" s="1" t="str"/>
      <x:c r="F93" s="1" t="str"/>
      <x:c r="G93" s="1" t="str"/>
      <x:c r="H93" s="1" t="str">
        <x:v>No</x:v>
      </x:c>
      <x:c r="I93" s="1" t="str">
        <x:v>Pending</x:v>
      </x:c>
      <x:c r="J93" s="1" t="str">
        <x:v>Pending</x:v>
      </x:c>
      <x:c r="K93" s="1" t="str"/>
      <x:c r="L93" s="1" t="str"/>
      <x:c r="M93" s="1" t="str">
        <x:v>No</x:v>
      </x:c>
      <x:c r="N93" s="1" t="str">
        <x:v>No</x:v>
      </x:c>
    </x:row>
    <x:row r="94">
      <x:c r="A94" s="1" t="str">
        <x:v>S093</x:v>
      </x:c>
      <x:c r="B94" s="39"/>
      <x:c r="C94" s="1" t="str"/>
      <x:c r="D94" s="1" t="str"/>
      <x:c r="E94" s="1" t="str"/>
      <x:c r="F94" s="1" t="str"/>
      <x:c r="G94" s="1" t="str"/>
      <x:c r="H94" s="1" t="str">
        <x:v>No</x:v>
      </x:c>
      <x:c r="I94" s="1" t="str">
        <x:v>Pending</x:v>
      </x:c>
      <x:c r="J94" s="1" t="str">
        <x:v>Pending</x:v>
      </x:c>
      <x:c r="K94" s="1" t="str"/>
      <x:c r="L94" s="1" t="str"/>
      <x:c r="M94" s="1" t="str">
        <x:v>No</x:v>
      </x:c>
      <x:c r="N94" s="1" t="str">
        <x:v>No</x:v>
      </x:c>
    </x:row>
    <x:row r="95">
      <x:c r="A95" s="1" t="str">
        <x:v>S094</x:v>
      </x:c>
      <x:c r="B95" s="39"/>
      <x:c r="C95" s="1" t="str"/>
      <x:c r="D95" s="1" t="str"/>
      <x:c r="E95" s="1" t="str"/>
      <x:c r="F95" s="1" t="str"/>
      <x:c r="G95" s="1" t="str"/>
      <x:c r="H95" s="1" t="str">
        <x:v>No</x:v>
      </x:c>
      <x:c r="I95" s="1" t="str">
        <x:v>Pending</x:v>
      </x:c>
      <x:c r="J95" s="1" t="str">
        <x:v>Pending</x:v>
      </x:c>
      <x:c r="K95" s="1" t="str"/>
      <x:c r="L95" s="1" t="str"/>
      <x:c r="M95" s="1" t="str">
        <x:v>No</x:v>
      </x:c>
      <x:c r="N95" s="1" t="str">
        <x:v>No</x:v>
      </x:c>
    </x:row>
    <x:row r="96">
      <x:c r="A96" s="1" t="str">
        <x:v>S095</x:v>
      </x:c>
      <x:c r="B96" s="39"/>
      <x:c r="C96" s="1" t="str"/>
      <x:c r="D96" s="1" t="str"/>
      <x:c r="E96" s="1" t="str"/>
      <x:c r="F96" s="1" t="str"/>
      <x:c r="G96" s="1" t="str"/>
      <x:c r="H96" s="1" t="str">
        <x:v>No</x:v>
      </x:c>
      <x:c r="I96" s="1" t="str">
        <x:v>Pending</x:v>
      </x:c>
      <x:c r="J96" s="1" t="str">
        <x:v>Pending</x:v>
      </x:c>
      <x:c r="K96" s="1" t="str"/>
      <x:c r="L96" s="1" t="str"/>
      <x:c r="M96" s="1" t="str">
        <x:v>No</x:v>
      </x:c>
      <x:c r="N96" s="1" t="str">
        <x:v>No</x:v>
      </x:c>
    </x:row>
    <x:row r="97">
      <x:c r="A97" s="1" t="str">
        <x:v>S096</x:v>
      </x:c>
      <x:c r="B97" s="39"/>
      <x:c r="C97" s="1" t="str"/>
      <x:c r="D97" s="1" t="str"/>
      <x:c r="E97" s="1" t="str"/>
      <x:c r="F97" s="1" t="str"/>
      <x:c r="G97" s="1" t="str"/>
      <x:c r="H97" s="1" t="str">
        <x:v>No</x:v>
      </x:c>
      <x:c r="I97" s="1" t="str">
        <x:v>Pending</x:v>
      </x:c>
      <x:c r="J97" s="1" t="str">
        <x:v>Pending</x:v>
      </x:c>
      <x:c r="K97" s="1" t="str"/>
      <x:c r="L97" s="1" t="str"/>
      <x:c r="M97" s="1" t="str">
        <x:v>No</x:v>
      </x:c>
      <x:c r="N97" s="1" t="str">
        <x:v>No</x:v>
      </x:c>
    </x:row>
    <x:row r="98">
      <x:c r="A98" s="1" t="str">
        <x:v>S097</x:v>
      </x:c>
      <x:c r="B98" s="39"/>
      <x:c r="C98" s="1" t="str"/>
      <x:c r="D98" s="1" t="str"/>
      <x:c r="E98" s="1" t="str"/>
      <x:c r="F98" s="1" t="str"/>
      <x:c r="G98" s="1" t="str"/>
      <x:c r="H98" s="1" t="str">
        <x:v>No</x:v>
      </x:c>
      <x:c r="I98" s="1" t="str">
        <x:v>Pending</x:v>
      </x:c>
      <x:c r="J98" s="1" t="str">
        <x:v>Pending</x:v>
      </x:c>
      <x:c r="K98" s="1" t="str"/>
      <x:c r="L98" s="1" t="str"/>
      <x:c r="M98" s="1" t="str">
        <x:v>No</x:v>
      </x:c>
      <x:c r="N98" s="1" t="str">
        <x:v>No</x:v>
      </x:c>
    </x:row>
    <x:row r="99">
      <x:c r="A99" s="1" t="str">
        <x:v>S098</x:v>
      </x:c>
      <x:c r="B99" s="39"/>
      <x:c r="C99" s="1" t="str"/>
      <x:c r="D99" s="1" t="str"/>
      <x:c r="E99" s="1" t="str"/>
      <x:c r="F99" s="1" t="str"/>
      <x:c r="G99" s="1" t="str"/>
      <x:c r="H99" s="1" t="str">
        <x:v>No</x:v>
      </x:c>
      <x:c r="I99" s="1" t="str">
        <x:v>Pending</x:v>
      </x:c>
      <x:c r="J99" s="1" t="str">
        <x:v>Pending</x:v>
      </x:c>
      <x:c r="K99" s="1" t="str"/>
      <x:c r="L99" s="1" t="str"/>
      <x:c r="M99" s="1" t="str">
        <x:v>No</x:v>
      </x:c>
      <x:c r="N99" s="1" t="str">
        <x:v>No</x:v>
      </x:c>
    </x:row>
    <x:row r="100">
      <x:c r="A100" s="1" t="str">
        <x:v>S099</x:v>
      </x:c>
      <x:c r="B100" s="39"/>
      <x:c r="C100" s="1" t="str"/>
      <x:c r="D100" s="1" t="str"/>
      <x:c r="E100" s="1" t="str"/>
      <x:c r="F100" s="1" t="str"/>
      <x:c r="G100" s="1" t="str"/>
      <x:c r="H100" s="1" t="str">
        <x:v>No</x:v>
      </x:c>
      <x:c r="I100" s="1" t="str">
        <x:v>Pending</x:v>
      </x:c>
      <x:c r="J100" s="1" t="str">
        <x:v>Pending</x:v>
      </x:c>
      <x:c r="K100" s="1" t="str"/>
      <x:c r="L100" s="1" t="str"/>
      <x:c r="M100" s="1" t="str">
        <x:v>No</x:v>
      </x:c>
      <x:c r="N100" s="1" t="str">
        <x:v>No</x:v>
      </x:c>
    </x:row>
    <x:row r="101">
      <x:c r="A101" s="1" t="str">
        <x:v>S100</x:v>
      </x:c>
      <x:c r="B101" s="39"/>
      <x:c r="C101" s="1" t="str"/>
      <x:c r="D101" s="1" t="str"/>
      <x:c r="E101" s="1" t="str"/>
      <x:c r="F101" s="1" t="str"/>
      <x:c r="G101" s="1" t="str"/>
      <x:c r="H101" s="1" t="str">
        <x:v>No</x:v>
      </x:c>
      <x:c r="I101" s="1" t="str">
        <x:v>Pending</x:v>
      </x:c>
      <x:c r="J101" s="1" t="str">
        <x:v>Pending</x:v>
      </x:c>
      <x:c r="K101" s="1" t="str"/>
      <x:c r="L101" s="1" t="str"/>
      <x:c r="M101" s="1" t="str">
        <x:v>No</x:v>
      </x:c>
      <x:c r="N101" s="1" t="str">
        <x:v>No</x:v>
      </x:c>
    </x:row>
  </x:sheetData>
  <x:conditionalFormatting sqref="I2:J101">
    <x:cfRule type="containsText" dxfId="2" priority="1" operator="containsText" text="Include"/>
    <x:cfRule type="containsText" dxfId="3" priority="2" operator="containsText" text="Exclude"/>
  </x:conditionalFormatting>
  <x:dataValidations count="4">
    <x:dataValidation type="list" sqref="H2:H101">
      <x:formula1>"No,Yes"</x:formula1>
    </x:dataValidation>
    <x:dataValidation type="list" sqref="I2:J101">
      <x:formula1>"Pending,Include,Exclude,Unclear,AI pilot: advance,AI pilot: unclear,AI full-text: include,AI full-text: exclude"</x:formula1>
    </x:dataValidation>
    <x:dataValidation type="list" sqref="K2:K101">
      <x:formula1>",Duplicate,Outside date window,Wrong modality,No reconstruction method,No mismatch/reliability relevance,Non-primary source,Insufficient technical detail,Superseded version,Other"</x:formula1>
    </x:dataValidation>
    <x:dataValidation type="list" sqref="M2:N101">
      <x:formula1>"No,Yes"</x:formula1>
    </x:dataValidation>
  </x:dataValidations>
  <x:pageMargins left="0.7" right="0.7" top="0.75" bottom="0.75" header="0.3" footer="0.3"/>
  <x:tableParts count="1">
    <x:tablePart xmlns:r="http://schemas.openxmlformats.org/officeDocument/2006/relationships" r:id="R53f6e3f6be384f59"/>
  </x:tableParts>
</x:worksheet>
</file>

<file path=xl/worksheets/sheet4.xml><?xml version="1.0" encoding="utf-8"?>
<x:worksheet xmlns:x="http://schemas.openxmlformats.org/spreadsheetml/2006/main">
  <x:sheetPr>
    <x:tabColor rgb="FFA5A5A5"/>
  </x:sheetPr>
  <x:sheetViews>
    <x:sheetView showGridLines="0" workbookViewId="0"/>
  </x:sheetViews>
  <x:sheetFormatPr defaultRowHeight="15"/>
  <x:cols>
    <x:col min="1" max="1" width="27" hidden="0" customWidth="1"/>
    <x:col min="2" max="2" width="105" hidden="0" customWidth="1"/>
  </x:cols>
  <x:sheetData>
    <x:row r="2">
      <x:c r="A2" s="40" t="str">
        <x:v>Systematic Review Protocol</x:v>
      </x:c>
    </x:row>
    <x:row r="3">
      <x:c r="A3" s="11"/>
      <x:c r="B3" s="11"/>
      <x:c r="C3" s="11"/>
      <x:c r="D3" s="11"/>
      <x:c r="E3" s="11"/>
      <x:c r="F3" s="11"/>
      <x:c r="G3" s="11"/>
      <x:c r="H3" s="11"/>
    </x:row>
    <x:row r="5">
      <x:c r="A5" s="55" t="str">
        <x:v>Protocol item</x:v>
      </x:c>
      <x:c r="B5" s="56" t="str">
        <x:v>Specification</x:v>
      </x:c>
    </x:row>
    <x:row r="6" ht="34" customHeight="1">
      <x:c r="A6" s="57" t="str">
        <x:v>Review window</x:v>
      </x:c>
      <x:c r="B6" s="58" t="str">
        <x:v>1 January 2020 to 15 September 2026; earlier work retained only as conceptual baseline</x:v>
      </x:c>
    </x:row>
    <x:row r="7" ht="34" customHeight="1">
      <x:c r="A7" s="57" t="str">
        <x:v>Primary question</x:v>
      </x:c>
      <x:c r="B7" s="58" t="str">
        <x:v>To what extent do learning-based image or video reconstruction methods remain accurate, calibrated and evidentially faithful when the true acquisition operator differs from the assumed forward model?</x:v>
      </x:c>
    </x:row>
    <x:row r="8" ht="34" customHeight="1">
      <x:c r="A8" s="57" t="str">
        <x:v>Population / domain</x:v>
      </x:c>
      <x:c r="B8" s="58" t="str">
        <x:v>Computational imaging and real-world image/video restoration, with surveillance/CCTV as the principal stress test</x:v>
      </x:c>
    </x:row>
    <x:row r="9" ht="34" customHeight="1">
      <x:c r="A9" s="57" t="str">
        <x:v>Interventions</x:v>
      </x:c>
      <x:c r="B9" s="58" t="str">
        <x:v>Classical model-based, discriminative deep, unrolled/PnP, diffusion/generative, blind operator estimation, differentiable calibration and uncertainty methods</x:v>
      </x:c>
    </x:row>
    <x:row r="10" ht="34" customHeight="1">
      <x:c r="A10" s="57" t="str">
        <x:v>Comparators</x:v>
      </x:c>
      <x:c r="B10" s="58" t="str">
        <x:v>Known-operator, operator-oblivious, operator-conditioned, oracle-corrected and blind-calibration settings</x:v>
      </x:c>
    </x:row>
    <x:row r="11" ht="34" customHeight="1">
      <x:c r="A11" s="57" t="str">
        <x:v>Outcomes</x:v>
      </x:c>
      <x:c r="B11" s="58" t="str">
        <x:v>Image quality, operator error, calibration, OOD robustness, hallucination/support, risk-coverage, abstention, latency and real-data transfer</x:v>
      </x:c>
    </x:row>
    <x:row r="12" ht="34" customHeight="1">
      <x:c r="A12" s="57" t="str">
        <x:v>Databases</x:v>
      </x:c>
      <x:c r="B12" s="58" t="str">
        <x:v>IEEE Xplore; Scopus; Web of Science; ScienceDirect; SpringerLink; ACM DL; CVF; NeurIPS; ICLR/OpenReview; ICML/PMLR; SIAM; Optica; SPIE; arXiv for recent work</x:v>
      </x:c>
    </x:row>
    <x:row r="13" ht="78" customHeight="1">
      <x:c r="A13" s="57" t="str">
        <x:v>Core query A</x:v>
      </x:c>
      <x:c r="B13" s="58" t="str">
        <x:v>("forward model mismatch" OR "operator mismatch" OR "model uncertainty" OR miscalibrat* OR "unknown operator" OR "blind inverse") AND ("image reconstruction" OR "video reconstruction" OR "inverse imaging" OR deblurring OR restoration)</x:v>
      </x:c>
    </x:row>
    <x:row r="14" ht="78" customHeight="1">
      <x:c r="A14" s="57" t="str">
        <x:v>Core query B</x:v>
      </x:c>
      <x:c r="B14" s="58" t="str">
        <x:v>(restoration OR deblurring OR super-resolution OR surveillance OR CCTV) AND (compound OR composite OR mixed OR unknown OR "time-varying") AND (degradation OR operator OR acquisition) AND (uncertainty OR calibration OR hallucination OR reliability OR robustness)</x:v>
      </x:c>
    </x:row>
    <x:row r="15" ht="78" customHeight="1">
      <x:c r="A15" s="57" t="str">
        <x:v>Core query C</x:v>
      </x:c>
      <x:c r="B15" s="58" t="str">
        <x:v>("inverse problem" OR "image reconstruction") AND (hallucination OR "measurement support" OR "null space" OR calibration OR "uncertainty quantification" OR abstention OR "selective prediction" OR "risk coverage" OR conformal OR OOD)</x:v>
      </x:c>
    </x:row>
    <x:row r="16" ht="34" customHeight="1">
      <x:c r="A16" s="57" t="str">
        <x:v>Screening stages</x:v>
      </x:c>
      <x:c r="B16" s="58" t="str">
        <x:v>Deduplicate; title/abstract screen; full-text eligibility; backward/forward citation chaining; final extraction</x:v>
      </x:c>
    </x:row>
    <x:row r="17" ht="34" customHeight="1">
      <x:c r="A17" s="57" t="str">
        <x:v>Inclusion</x:v>
      </x:c>
      <x:c r="B17" s="58" t="str">
        <x:v>Primary technical work in scope with an explicit reconstruction, mismatch/operator, degradation, uncertainty, hallucination, OOD or failure-awareness contribution</x:v>
      </x:c>
    </x:row>
    <x:row r="18" ht="34" customHeight="1">
      <x:c r="A18" s="57" t="str">
        <x:v>Exclusion</x:v>
      </x:c>
      <x:c r="B18" s="58" t="str">
        <x:v>Surveys used only for discovery; non-imaging inverse problems without transferable method; enhancement without evaluation; non-primary commentary; duplicate/superseded manuscripts</x:v>
      </x:c>
    </x:row>
    <x:row r="19" ht="62" customHeight="1">
      <x:c r="A19" s="57" t="str">
        <x:v>Target corpus</x:v>
      </x:c>
      <x:c r="B19" s="58" t="str">
        <x:v>Planning estimate only: 60–100 full-text papers; not an eligibility quota. Include all studies meeting the protocol.</x:v>
      </x:c>
    </x:row>
    <x:row r="20" ht="62" customHeight="1">
      <x:c r="A20" s="57" t="str">
        <x:v>Novelty rule</x:v>
      </x:c>
      <x:c r="B20" s="58" t="str">
        <x:v>No novelty claim until nearest competitors are fully coded and the go/no-go pilot is completed</x:v>
      </x:c>
    </x:row>
    <x:row r="21" ht="62" customHeight="1">
      <x:c r="A21" s="57" t="str">
        <x:v>Version</x:v>
      </x:c>
      <x:c r="B21" s="58" t="str">
        <x:v>0.4 — operational AI full-text convention, 16 September 2026; not registered. Eligibility and search window unchanged.</x:v>
      </x:c>
    </x:row>
    <x:row r="22" ht="62" customHeight="1">
      <x:c r="A22" s="59" t="str">
        <x:v>Current PRISMA status</x:v>
      </x:c>
      <x:c r="B22" s="60" t="str">
        <x:v>Initial triage 90/90 (82 advance, 8 unclear). AI full-text assessed: 60 (59 include, 1 exclude), 30 remain. All human adjudication and formal searches/inclusion pending. Formal inclusion/exclusion counts remain zero.</x:v>
      </x:c>
    </x:row>
    <x:row r="23" ht="62" customHeight="1">
      <x:c r="A23" t="str">
        <x:v>Seed-corpus rule</x:v>
      </x:c>
      <x:c r="B23" s="78" t="str">
        <x:v>90 seed records retained. Cumulative full-text progress: screening/full_text_01.json, full_text_02.json, full_text_03.json, full_text_04.json, full_text_05.json and full_text_06.json; current report: full_text_06_report.md. AI decisions require human adjudication. Only listed feature fields are verified; other codes remain provisional.</x:v>
      </x:c>
    </x:row>
  </x:sheetData>
  <x:mergeCells>
    <x:mergeCell ref="A2:H2"/>
  </x:mergeCells>
  <x:pageMargins left="0.7" right="0.7" top="0.75" bottom="0.75" header="0.3" footer="0.3"/>
</x:worksheet>
</file>

<file path=xl/worksheets/sheet5.xml><?xml version="1.0" encoding="utf-8"?>
<x:worksheet xmlns:x="http://schemas.openxmlformats.org/spreadsheetml/2006/main">
  <x:sheetPr>
    <x:tabColor rgb="FFA5A5A5"/>
  </x:sheetPr>
  <x:sheetViews>
    <x:sheetView showGridLines="0" workbookViewId="0">
      <x:pane ySplit="1" topLeftCell="A2" activePane="bottomLeft" state="frozen"/>
    </x:sheetView>
  </x:sheetViews>
  <x:sheetFormatPr defaultRowHeight="15"/>
  <x:cols>
    <x:col min="1" max="1" width="24" hidden="0" customWidth="1"/>
    <x:col min="2" max="2" width="40" hidden="0" customWidth="1"/>
    <x:col min="3" max="3" width="85" hidden="0" customWidth="1"/>
  </x:cols>
  <x:sheetData>
    <x:row r="1">
      <x:c r="A1" s="62" t="str">
        <x:v>Field</x:v>
      </x:c>
      <x:c r="B1" s="62" t="str">
        <x:v>Allowed values / format</x:v>
      </x:c>
      <x:c r="C1" s="62" t="str">
        <x:v>Coding definition</x:v>
      </x:c>
    </x:row>
    <x:row r="2">
      <x:c r="A2" s="63" t="str">
        <x:v>Study ID</x:v>
      </x:c>
      <x:c r="B2" s="63" t="str">
        <x:v>P001…</x:v>
      </x:c>
      <x:c r="C2" s="63" t="str">
        <x:v>Stable unique identifier</x:v>
      </x:c>
    </x:row>
    <x:row r="3">
      <x:c r="A3" s="63" t="str">
        <x:v>Peer reviewed</x:v>
      </x:c>
      <x:c r="B3" s="63" t="str">
        <x:v>Yes / No / Partial</x:v>
      </x:c>
      <x:c r="C3" s="63" t="str">
        <x:v>Partial covers mixed preprint-to-journal lineage needing final verification</x:v>
      </x:c>
    </x:row>
    <x:row r="4">
      <x:c r="A4" s="63" t="str">
        <x:v>Operator access</x:v>
      </x:c>
      <x:c r="B4" s="63" t="str">
        <x:v>Known / Approximate / Unknown / Uncalibrated</x:v>
      </x:c>
      <x:c r="C4" s="63" t="str">
        <x:v>Knowledge assumed at inference</x:v>
      </x:c>
    </x:row>
    <x:row r="5">
      <x:c r="A5" s="63" t="str">
        <x:v>Mismatch type</x:v>
      </x:c>
      <x:c r="B5" s="63" t="str">
        <x:v>Free text</x:v>
      </x:c>
      <x:c r="C5" s="63" t="str">
        <x:v>Specific discrepancy between real and assumed acquisition process</x:v>
      </x:c>
    </x:row>
    <x:row r="6">
      <x:c r="A6" s="63" t="str">
        <x:v>Physics integration</x:v>
      </x:c>
      <x:c r="B6" s="63" t="str">
        <x:v>None / Implicit / Soft likelihood / Hard iterative / Differentiable / Range-null</x:v>
      </x:c>
      <x:c r="C6" s="63" t="str">
        <x:v>How the forward process constrains reconstruction</x:v>
      </x:c>
    </x:row>
    <x:row r="7">
      <x:c r="A7" s="63" t="str">
        <x:v>Joint image/operator</x:v>
      </x:c>
      <x:c r="B7" s="63" t="str">
        <x:v>Yes / Partial / No</x:v>
      </x:c>
      <x:c r="C7" s="63" t="str">
        <x:v>Whether image and operator/degradation are inferred together</x:v>
      </x:c>
    </x:row>
    <x:row r="8">
      <x:c r="A8" s="63" t="str">
        <x:v>Image UQ</x:v>
      </x:c>
      <x:c r="B8" s="63" t="str">
        <x:v>Yes / Partial / No</x:v>
      </x:c>
      <x:c r="C8" s="63" t="str">
        <x:v>Uncertainty over reconstructed pixels/features/posterior</x:v>
      </x:c>
    </x:row>
    <x:row r="9">
      <x:c r="A9" s="63" t="str">
        <x:v>Operator UQ</x:v>
      </x:c>
      <x:c r="B9" s="63" t="str">
        <x:v>Yes / Partial / No</x:v>
      </x:c>
      <x:c r="C9" s="63" t="str">
        <x:v>Uncertainty over degradation or forward-model parameters</x:v>
      </x:c>
    </x:row>
    <x:row r="10">
      <x:c r="A10" s="63" t="str">
        <x:v>Calibration</x:v>
      </x:c>
      <x:c r="B10" s="63" t="str">
        <x:v>Yes / Partial / No</x:v>
      </x:c>
      <x:c r="C10" s="63" t="str">
        <x:v>Coverage or calibration evaluated, not merely variance displayed</x:v>
      </x:c>
    </x:row>
    <x:row r="11">
      <x:c r="A11" s="63" t="str">
        <x:v>OOD test</x:v>
      </x:c>
      <x:c r="B11" s="63" t="str">
        <x:v>Yes / Partial / No</x:v>
      </x:c>
      <x:c r="C11" s="63" t="str">
        <x:v>Explicit held-out degradation, device, scene, operator or distribution shift</x:v>
      </x:c>
    </x:row>
    <x:row r="12">
      <x:c r="A12" s="63" t="str">
        <x:v>Real data/hardware</x:v>
      </x:c>
      <x:c r="B12" s="63" t="str">
        <x:v>Yes / Partial / No</x:v>
      </x:c>
      <x:c r="C12" s="63" t="str">
        <x:v>Meaningful real-measurement validation beyond natural images synthetically degraded</x:v>
      </x:c>
    </x:row>
    <x:row r="13">
      <x:c r="A13" s="63" t="str">
        <x:v>Compound degradation</x:v>
      </x:c>
      <x:c r="B13" s="63" t="str">
        <x:v>Yes / No</x:v>
      </x:c>
      <x:c r="C13" s="63" t="str">
        <x:v>Two or more degradation processes in one observation</x:v>
      </x:c>
    </x:row>
    <x:row r="14">
      <x:c r="A14" s="63" t="str">
        <x:v>Time varying</x:v>
      </x:c>
      <x:c r="B14" s="63" t="str">
        <x:v>Yes / No</x:v>
      </x:c>
      <x:c r="C14" s="63" t="str">
        <x:v>Degradation/operator changes across a video sequence</x:v>
      </x:c>
    </x:row>
    <x:row r="15">
      <x:c r="A15" s="63" t="str">
        <x:v>Hallucination test</x:v>
      </x:c>
      <x:c r="B15" s="63" t="str">
        <x:v>Yes / Partial / No</x:v>
      </x:c>
      <x:c r="C15" s="63" t="str">
        <x:v>Measurement support, null-space artefact or unsupported-detail assessment</x:v>
      </x:c>
    </x:row>
    <x:row r="16">
      <x:c r="A16" s="63" t="str">
        <x:v>Abstention</x:v>
      </x:c>
      <x:c r="B16" s="63" t="str">
        <x:v>Yes / Partial / No</x:v>
      </x:c>
      <x:c r="C16" s="63" t="str">
        <x:v>Explicit selective prediction, reject option or reliability threshold</x:v>
      </x:c>
    </x:row>
    <x:row r="17" ht="160" customHeight="1">
      <x:c r="A17" s="63" t="str">
        <x:v>Evidence status</x:v>
      </x:c>
      <x:c r="B17" s="63" t="str">
        <x:v>Abstract inspected; full-text pending / Targeted full-text sections inspected / Abstract and repository inspected / Title/project checked; abstract pending / Incomplete evidence; retrieval pending / legacy labels / AI full-text eligibility assessed; selected features verified</x:v>
      </x:c>
      <x:c r="C17" s="63" t="str">
        <x:v>Full-text eligibility assessment means sufficient evidence for criteria, not a proof/code audit. Only explicitly logged feature fields are verified; other codes remain provisional. AI include/exclude in Screening Log J requires human adjudication; Evidence Matrix AA remains the formal decision.</x:v>
      </x:c>
    </x:row>
    <x:row r="18">
      <x:c r="A18" s="63" t="str">
        <x:v>Closest competitor</x:v>
      </x:c>
      <x:c r="B18" s="63" t="str">
        <x:v>Yes / No</x:v>
      </x:c>
      <x:c r="C18" s="63" t="str">
        <x:v>Paper directly threatens or strongly constrains the proposed novelty claim</x:v>
      </x:c>
    </x:row>
    <x:row r="19">
      <x:c r="A19" s="63" t="str">
        <x:v>Gap left open</x:v>
      </x:c>
      <x:c r="B19" s="63" t="str">
        <x:v>Free text</x:v>
      </x:c>
      <x:c r="C19" s="63" t="str">
        <x:v>Specific unaddressed element supported by the coded evidence</x:v>
      </x:c>
    </x:row>
    <x:row r="20">
      <x:c r="A20" s="63" t="str">
        <x:v>Primary source URL</x:v>
      </x:c>
      <x:c r="B20" s="63" t="str">
        <x:v>URL</x:v>
      </x:c>
      <x:c r="C20" s="63" t="str">
        <x:v>Publisher, official proceedings or arXiv page; avoid secondary summaries</x:v>
      </x:c>
    </x:row>
  </x:sheetData>
  <x:pageMargins left="0.7" right="0.7" top="0.75" bottom="0.75" header="0.3" footer="0.3"/>
  <x:tableParts count="1">
    <x:tablePart xmlns:r="http://schemas.openxmlformats.org/officeDocument/2006/relationships" r:id="R16ddbd596d6743a5"/>
  </x:tableParts>
</x:worksheet>
</file>